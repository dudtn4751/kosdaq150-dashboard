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사용자\아크임팩트자산운용 Dropbox\상장주식\ARK_2025\(Monthly) 인바운드 데이터\"/>
    </mc:Choice>
  </mc:AlternateContent>
  <bookViews>
    <workbookView xWindow="0" yWindow="0" windowWidth="28800" windowHeight="12165" activeTab="1"/>
  </bookViews>
  <sheets>
    <sheet name="Cover" sheetId="6" r:id="rId1"/>
    <sheet name="DreamtowerCasino" sheetId="4" r:id="rId2"/>
    <sheet name="커버리지 타임라인" sheetId="7" r:id="rId3"/>
  </sheets>
  <definedNames>
    <definedName name="_xlnm.Print_Area" localSheetId="1">DreamtowerCasino!$B$2:$L$27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7" l="1"/>
  <c r="C56" i="7"/>
  <c r="D56" i="7"/>
  <c r="E56" i="7"/>
  <c r="F56" i="7"/>
  <c r="H56" i="7"/>
  <c r="I56" i="7"/>
  <c r="J56" i="7"/>
  <c r="K56" i="7"/>
  <c r="L56" i="7"/>
  <c r="M56" i="7"/>
  <c r="N56" i="7"/>
  <c r="O56" i="7"/>
  <c r="O61" i="4"/>
  <c r="P61" i="4"/>
  <c r="Q61" i="4"/>
  <c r="R61" i="4"/>
  <c r="S61" i="4"/>
  <c r="T61" i="4"/>
  <c r="U61" i="4"/>
  <c r="V61" i="4"/>
  <c r="W61" i="4"/>
  <c r="X61" i="4"/>
  <c r="Y61" i="4"/>
  <c r="Z61" i="4"/>
  <c r="H61" i="4"/>
  <c r="H60" i="4"/>
  <c r="G56" i="7" l="1"/>
  <c r="B55" i="7"/>
  <c r="C55" i="7"/>
  <c r="E55" i="7"/>
  <c r="F55" i="7"/>
  <c r="H55" i="7"/>
  <c r="I55" i="7"/>
  <c r="K55" i="7"/>
  <c r="L55" i="7"/>
  <c r="M55" i="7"/>
  <c r="N55" i="7"/>
  <c r="O55" i="7"/>
  <c r="G55" i="7" l="1"/>
  <c r="O60" i="4"/>
  <c r="P60" i="4"/>
  <c r="Q60" i="4"/>
  <c r="R60" i="4"/>
  <c r="D55" i="7" s="1"/>
  <c r="S60" i="4"/>
  <c r="T60" i="4"/>
  <c r="U60" i="4"/>
  <c r="V60" i="4"/>
  <c r="W60" i="4"/>
  <c r="X60" i="4"/>
  <c r="J55" i="7" s="1"/>
  <c r="Y60" i="4"/>
  <c r="Z60" i="4"/>
  <c r="B54" i="7" l="1"/>
  <c r="C54" i="7"/>
  <c r="E54" i="7"/>
  <c r="F54" i="7"/>
  <c r="H54" i="7"/>
  <c r="G54" i="7" s="1"/>
  <c r="I54" i="7"/>
  <c r="K54" i="7"/>
  <c r="L54" i="7"/>
  <c r="N54" i="7"/>
  <c r="O54" i="7"/>
  <c r="H58" i="4"/>
  <c r="H59" i="4"/>
  <c r="U59" i="4" s="1"/>
  <c r="O59" i="4"/>
  <c r="P59" i="4"/>
  <c r="Q59" i="4"/>
  <c r="R59" i="4"/>
  <c r="D54" i="7" s="1"/>
  <c r="S59" i="4"/>
  <c r="T59" i="4"/>
  <c r="V59" i="4"/>
  <c r="W59" i="4"/>
  <c r="X59" i="4"/>
  <c r="J54" i="7" s="1"/>
  <c r="Y59" i="4"/>
  <c r="Z59" i="4"/>
  <c r="C53" i="7"/>
  <c r="E53" i="7"/>
  <c r="F53" i="7"/>
  <c r="H53" i="7"/>
  <c r="I53" i="7"/>
  <c r="K53" i="7"/>
  <c r="L53" i="7"/>
  <c r="M53" i="7"/>
  <c r="N53" i="7"/>
  <c r="O53" i="7"/>
  <c r="B53" i="7"/>
  <c r="Z58" i="4"/>
  <c r="Y58" i="4"/>
  <c r="X58" i="4"/>
  <c r="J53" i="7" s="1"/>
  <c r="W58" i="4"/>
  <c r="V58" i="4"/>
  <c r="T58" i="4"/>
  <c r="S58" i="4"/>
  <c r="R58" i="4"/>
  <c r="D53" i="7" s="1"/>
  <c r="Q58" i="4"/>
  <c r="P58" i="4"/>
  <c r="O58" i="4"/>
  <c r="G53" i="7" l="1"/>
  <c r="M54" i="7"/>
  <c r="J5" i="7"/>
  <c r="J6" i="7"/>
  <c r="J7" i="7"/>
  <c r="J8" i="7"/>
  <c r="J9" i="7"/>
  <c r="J10" i="7"/>
  <c r="J11" i="7"/>
  <c r="J4" i="7"/>
  <c r="D5" i="7"/>
  <c r="D6" i="7"/>
  <c r="D7" i="7"/>
  <c r="D8" i="7"/>
  <c r="D9" i="7"/>
  <c r="D10" i="7"/>
  <c r="D11" i="7"/>
  <c r="D4" i="7"/>
  <c r="K5" i="7" l="1"/>
  <c r="L5" i="7"/>
  <c r="K6" i="7"/>
  <c r="L6" i="7"/>
  <c r="K7" i="7"/>
  <c r="L7" i="7"/>
  <c r="K8" i="7"/>
  <c r="L8" i="7"/>
  <c r="K9" i="7"/>
  <c r="L9" i="7"/>
  <c r="K10" i="7"/>
  <c r="L10" i="7"/>
  <c r="K11" i="7"/>
  <c r="L11" i="7"/>
  <c r="K12" i="7"/>
  <c r="L12" i="7"/>
  <c r="K13" i="7"/>
  <c r="L13" i="7"/>
  <c r="K14" i="7"/>
  <c r="L14" i="7"/>
  <c r="K15" i="7"/>
  <c r="L15" i="7"/>
  <c r="K16" i="7"/>
  <c r="L16" i="7"/>
  <c r="K17" i="7"/>
  <c r="L17" i="7"/>
  <c r="K18" i="7"/>
  <c r="L18" i="7"/>
  <c r="K19" i="7"/>
  <c r="L19" i="7"/>
  <c r="K20" i="7"/>
  <c r="L20" i="7"/>
  <c r="K21" i="7"/>
  <c r="L21" i="7"/>
  <c r="K22" i="7"/>
  <c r="L22" i="7"/>
  <c r="K23" i="7"/>
  <c r="L23" i="7"/>
  <c r="K24" i="7"/>
  <c r="L24" i="7"/>
  <c r="K25" i="7"/>
  <c r="L25" i="7"/>
  <c r="K26" i="7"/>
  <c r="L26" i="7"/>
  <c r="K27" i="7"/>
  <c r="L27" i="7"/>
  <c r="K28" i="7"/>
  <c r="L28" i="7"/>
  <c r="K29" i="7"/>
  <c r="L29" i="7"/>
  <c r="K30" i="7"/>
  <c r="L30" i="7"/>
  <c r="K31" i="7"/>
  <c r="L31" i="7"/>
  <c r="K32" i="7"/>
  <c r="L32" i="7"/>
  <c r="K33" i="7"/>
  <c r="L33" i="7"/>
  <c r="K34" i="7"/>
  <c r="L34" i="7"/>
  <c r="K35" i="7"/>
  <c r="L35" i="7"/>
  <c r="K36" i="7"/>
  <c r="L36" i="7"/>
  <c r="K37" i="7"/>
  <c r="L37" i="7"/>
  <c r="K38" i="7"/>
  <c r="L38" i="7"/>
  <c r="K39" i="7"/>
  <c r="L39" i="7"/>
  <c r="K40" i="7"/>
  <c r="L40" i="7"/>
  <c r="K41" i="7"/>
  <c r="L41" i="7"/>
  <c r="K42" i="7"/>
  <c r="L42" i="7"/>
  <c r="K43" i="7"/>
  <c r="L43" i="7"/>
  <c r="K44" i="7"/>
  <c r="L44" i="7"/>
  <c r="K45" i="7"/>
  <c r="L45" i="7"/>
  <c r="K46" i="7"/>
  <c r="L46" i="7"/>
  <c r="K47" i="7"/>
  <c r="L47" i="7"/>
  <c r="K48" i="7"/>
  <c r="L48" i="7"/>
  <c r="K49" i="7"/>
  <c r="L49" i="7"/>
  <c r="K50" i="7"/>
  <c r="L50" i="7"/>
  <c r="K51" i="7"/>
  <c r="L51" i="7"/>
  <c r="K52" i="7"/>
  <c r="L52" i="7"/>
  <c r="L4" i="7"/>
  <c r="K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4" i="7"/>
  <c r="C5" i="7"/>
  <c r="C6" i="7"/>
  <c r="C7" i="7"/>
  <c r="C8" i="7"/>
  <c r="C9" i="7"/>
  <c r="C10" i="7"/>
  <c r="G10" i="7" s="1"/>
  <c r="C11" i="7"/>
  <c r="G11" i="7" s="1"/>
  <c r="C12" i="7"/>
  <c r="G12" i="7" s="1"/>
  <c r="C13" i="7"/>
  <c r="C14" i="7"/>
  <c r="C15" i="7"/>
  <c r="G15" i="7" s="1"/>
  <c r="C16" i="7"/>
  <c r="G16" i="7" s="1"/>
  <c r="C17" i="7"/>
  <c r="G17" i="7" s="1"/>
  <c r="C18" i="7"/>
  <c r="C19" i="7"/>
  <c r="C20" i="7"/>
  <c r="C21" i="7"/>
  <c r="C22" i="7"/>
  <c r="C23" i="7"/>
  <c r="G23" i="7" s="1"/>
  <c r="C24" i="7"/>
  <c r="C25" i="7"/>
  <c r="C26" i="7"/>
  <c r="C27" i="7"/>
  <c r="C28" i="7"/>
  <c r="C29" i="7"/>
  <c r="C30" i="7"/>
  <c r="C31" i="7"/>
  <c r="C32" i="7"/>
  <c r="C33" i="7"/>
  <c r="C34" i="7"/>
  <c r="G34" i="7" s="1"/>
  <c r="C35" i="7"/>
  <c r="G35" i="7" s="1"/>
  <c r="C36" i="7"/>
  <c r="G36" i="7" s="1"/>
  <c r="C37" i="7"/>
  <c r="C38" i="7"/>
  <c r="C39" i="7"/>
  <c r="G39" i="7" s="1"/>
  <c r="C40" i="7"/>
  <c r="G40" i="7" s="1"/>
  <c r="C41" i="7"/>
  <c r="G41" i="7" s="1"/>
  <c r="C42" i="7"/>
  <c r="C43" i="7"/>
  <c r="C44" i="7"/>
  <c r="C45" i="7"/>
  <c r="C46" i="7"/>
  <c r="C47" i="7"/>
  <c r="C48" i="7"/>
  <c r="C49" i="7"/>
  <c r="C50" i="7"/>
  <c r="C51" i="7"/>
  <c r="C52" i="7"/>
  <c r="C4" i="7"/>
  <c r="B5" i="7"/>
  <c r="H5" i="7"/>
  <c r="N5" i="7"/>
  <c r="O5" i="7"/>
  <c r="B6" i="7"/>
  <c r="H6" i="7"/>
  <c r="N6" i="7"/>
  <c r="O6" i="7"/>
  <c r="B7" i="7"/>
  <c r="H7" i="7"/>
  <c r="N7" i="7"/>
  <c r="O7" i="7"/>
  <c r="B8" i="7"/>
  <c r="H8" i="7"/>
  <c r="N8" i="7"/>
  <c r="O8" i="7"/>
  <c r="B9" i="7"/>
  <c r="H9" i="7"/>
  <c r="N9" i="7"/>
  <c r="O9" i="7"/>
  <c r="B10" i="7"/>
  <c r="H10" i="7"/>
  <c r="N10" i="7"/>
  <c r="O10" i="7"/>
  <c r="B11" i="7"/>
  <c r="H11" i="7"/>
  <c r="N11" i="7"/>
  <c r="O11" i="7"/>
  <c r="B12" i="7"/>
  <c r="H12" i="7"/>
  <c r="N12" i="7"/>
  <c r="O12" i="7"/>
  <c r="B13" i="7"/>
  <c r="H13" i="7"/>
  <c r="N13" i="7"/>
  <c r="O13" i="7"/>
  <c r="B14" i="7"/>
  <c r="H14" i="7"/>
  <c r="N14" i="7"/>
  <c r="O14" i="7"/>
  <c r="B15" i="7"/>
  <c r="H15" i="7"/>
  <c r="N15" i="7"/>
  <c r="O15" i="7"/>
  <c r="B16" i="7"/>
  <c r="H16" i="7"/>
  <c r="N16" i="7"/>
  <c r="O16" i="7"/>
  <c r="B17" i="7"/>
  <c r="H17" i="7"/>
  <c r="N17" i="7"/>
  <c r="O17" i="7"/>
  <c r="B18" i="7"/>
  <c r="H18" i="7"/>
  <c r="N18" i="7"/>
  <c r="O18" i="7"/>
  <c r="B19" i="7"/>
  <c r="H19" i="7"/>
  <c r="N19" i="7"/>
  <c r="O19" i="7"/>
  <c r="B20" i="7"/>
  <c r="H20" i="7"/>
  <c r="N20" i="7"/>
  <c r="O20" i="7"/>
  <c r="B21" i="7"/>
  <c r="H21" i="7"/>
  <c r="N21" i="7"/>
  <c r="O21" i="7"/>
  <c r="B22" i="7"/>
  <c r="H22" i="7"/>
  <c r="N22" i="7"/>
  <c r="O22" i="7"/>
  <c r="B23" i="7"/>
  <c r="H23" i="7"/>
  <c r="N23" i="7"/>
  <c r="O23" i="7"/>
  <c r="B24" i="7"/>
  <c r="H24" i="7"/>
  <c r="N24" i="7"/>
  <c r="O24" i="7"/>
  <c r="B25" i="7"/>
  <c r="H25" i="7"/>
  <c r="N25" i="7"/>
  <c r="O25" i="7"/>
  <c r="B26" i="7"/>
  <c r="H26" i="7"/>
  <c r="N26" i="7"/>
  <c r="O26" i="7"/>
  <c r="B27" i="7"/>
  <c r="H27" i="7"/>
  <c r="N27" i="7"/>
  <c r="O27" i="7"/>
  <c r="B28" i="7"/>
  <c r="H28" i="7"/>
  <c r="N28" i="7"/>
  <c r="O28" i="7"/>
  <c r="B29" i="7"/>
  <c r="H29" i="7"/>
  <c r="N29" i="7"/>
  <c r="O29" i="7"/>
  <c r="B30" i="7"/>
  <c r="H30" i="7"/>
  <c r="N30" i="7"/>
  <c r="O30" i="7"/>
  <c r="B31" i="7"/>
  <c r="H31" i="7"/>
  <c r="N31" i="7"/>
  <c r="O31" i="7"/>
  <c r="B32" i="7"/>
  <c r="H32" i="7"/>
  <c r="N32" i="7"/>
  <c r="O32" i="7"/>
  <c r="B33" i="7"/>
  <c r="H33" i="7"/>
  <c r="N33" i="7"/>
  <c r="O33" i="7"/>
  <c r="B34" i="7"/>
  <c r="H34" i="7"/>
  <c r="N34" i="7"/>
  <c r="O34" i="7"/>
  <c r="B35" i="7"/>
  <c r="H35" i="7"/>
  <c r="N35" i="7"/>
  <c r="O35" i="7"/>
  <c r="B36" i="7"/>
  <c r="H36" i="7"/>
  <c r="N36" i="7"/>
  <c r="O36" i="7"/>
  <c r="B37" i="7"/>
  <c r="H37" i="7"/>
  <c r="N37" i="7"/>
  <c r="O37" i="7"/>
  <c r="B38" i="7"/>
  <c r="H38" i="7"/>
  <c r="N38" i="7"/>
  <c r="O38" i="7"/>
  <c r="B39" i="7"/>
  <c r="H39" i="7"/>
  <c r="N39" i="7"/>
  <c r="O39" i="7"/>
  <c r="B40" i="7"/>
  <c r="H40" i="7"/>
  <c r="N40" i="7"/>
  <c r="O40" i="7"/>
  <c r="B41" i="7"/>
  <c r="H41" i="7"/>
  <c r="N41" i="7"/>
  <c r="O41" i="7"/>
  <c r="B42" i="7"/>
  <c r="H42" i="7"/>
  <c r="N42" i="7"/>
  <c r="O42" i="7"/>
  <c r="B43" i="7"/>
  <c r="H43" i="7"/>
  <c r="N43" i="7"/>
  <c r="O43" i="7"/>
  <c r="B44" i="7"/>
  <c r="H44" i="7"/>
  <c r="N44" i="7"/>
  <c r="O44" i="7"/>
  <c r="B45" i="7"/>
  <c r="H45" i="7"/>
  <c r="N45" i="7"/>
  <c r="O45" i="7"/>
  <c r="B46" i="7"/>
  <c r="H46" i="7"/>
  <c r="N46" i="7"/>
  <c r="O46" i="7"/>
  <c r="B47" i="7"/>
  <c r="H47" i="7"/>
  <c r="N47" i="7"/>
  <c r="O47" i="7"/>
  <c r="B48" i="7"/>
  <c r="H48" i="7"/>
  <c r="G48" i="7" s="1"/>
  <c r="N48" i="7"/>
  <c r="O48" i="7"/>
  <c r="B49" i="7"/>
  <c r="H49" i="7"/>
  <c r="G49" i="7" s="1"/>
  <c r="N49" i="7"/>
  <c r="O49" i="7"/>
  <c r="B50" i="7"/>
  <c r="H50" i="7"/>
  <c r="N50" i="7"/>
  <c r="O50" i="7"/>
  <c r="B51" i="7"/>
  <c r="H51" i="7"/>
  <c r="N51" i="7"/>
  <c r="O51" i="7"/>
  <c r="B52" i="7"/>
  <c r="H52" i="7"/>
  <c r="N52" i="7"/>
  <c r="O52" i="7"/>
  <c r="O4" i="7"/>
  <c r="N4" i="7"/>
  <c r="H4" i="7"/>
  <c r="B4" i="7"/>
  <c r="G14" i="7" l="1"/>
  <c r="G47" i="7"/>
  <c r="G9" i="7"/>
  <c r="G33" i="7"/>
  <c r="G8" i="7"/>
  <c r="G52" i="7"/>
  <c r="G28" i="7"/>
  <c r="G46" i="7"/>
  <c r="G22" i="7"/>
  <c r="G51" i="7"/>
  <c r="G27" i="7"/>
  <c r="G50" i="7"/>
  <c r="G26" i="7"/>
  <c r="G32" i="7"/>
  <c r="G25" i="7"/>
  <c r="G38" i="7"/>
  <c r="G24" i="7"/>
  <c r="G31" i="7"/>
  <c r="G7" i="7"/>
  <c r="G30" i="7"/>
  <c r="G4" i="7"/>
  <c r="G37" i="7"/>
  <c r="G5" i="7"/>
  <c r="G45" i="7"/>
  <c r="G21" i="7"/>
  <c r="G44" i="7"/>
  <c r="G20" i="7"/>
  <c r="G13" i="7"/>
  <c r="G29" i="7"/>
  <c r="G43" i="7"/>
  <c r="G19" i="7"/>
  <c r="G6" i="7"/>
  <c r="G42" i="7"/>
  <c r="G18" i="7"/>
  <c r="Z57" i="4"/>
  <c r="Y57" i="4"/>
  <c r="X57" i="4"/>
  <c r="J52" i="7" s="1"/>
  <c r="W57" i="4"/>
  <c r="V57" i="4"/>
  <c r="T57" i="4"/>
  <c r="S57" i="4"/>
  <c r="R57" i="4"/>
  <c r="D52" i="7" s="1"/>
  <c r="Q57" i="4"/>
  <c r="P57" i="4"/>
  <c r="O57" i="4"/>
  <c r="H57" i="4"/>
  <c r="M52" i="7" l="1"/>
  <c r="H56" i="4"/>
  <c r="O56" i="4"/>
  <c r="P56" i="4"/>
  <c r="Q56" i="4"/>
  <c r="R56" i="4"/>
  <c r="D51" i="7" s="1"/>
  <c r="S56" i="4"/>
  <c r="T56" i="4"/>
  <c r="V56" i="4"/>
  <c r="W56" i="4"/>
  <c r="X56" i="4"/>
  <c r="J51" i="7" s="1"/>
  <c r="Y56" i="4"/>
  <c r="Z56" i="4"/>
  <c r="M51" i="7" l="1"/>
  <c r="H55" i="4"/>
  <c r="Z55" i="4"/>
  <c r="Y55" i="4"/>
  <c r="X55" i="4"/>
  <c r="J50" i="7" s="1"/>
  <c r="W55" i="4"/>
  <c r="V55" i="4"/>
  <c r="T55" i="4"/>
  <c r="S55" i="4"/>
  <c r="R55" i="4"/>
  <c r="D50" i="7" s="1"/>
  <c r="Q55" i="4"/>
  <c r="P55" i="4"/>
  <c r="O55" i="4"/>
  <c r="M50" i="7" l="1"/>
  <c r="O54" i="4"/>
  <c r="Z54" i="4"/>
  <c r="Y54" i="4"/>
  <c r="X54" i="4"/>
  <c r="J49" i="7" s="1"/>
  <c r="W54" i="4"/>
  <c r="V54" i="4"/>
  <c r="T54" i="4"/>
  <c r="S54" i="4"/>
  <c r="R54" i="4"/>
  <c r="D49" i="7" s="1"/>
  <c r="Q54" i="4"/>
  <c r="P54" i="4"/>
  <c r="H54" i="4"/>
  <c r="M49" i="7" l="1"/>
  <c r="Y52" i="4"/>
  <c r="P53" i="4"/>
  <c r="Q53" i="4"/>
  <c r="R53" i="4"/>
  <c r="D48" i="7" s="1"/>
  <c r="S53" i="4"/>
  <c r="T53" i="4"/>
  <c r="V53" i="4"/>
  <c r="W53" i="4"/>
  <c r="X53" i="4"/>
  <c r="J48" i="7" s="1"/>
  <c r="Y53" i="4"/>
  <c r="Z53" i="4"/>
  <c r="H53" i="4"/>
  <c r="M48" i="7" l="1"/>
  <c r="P52" i="4"/>
  <c r="Q52" i="4"/>
  <c r="R52" i="4"/>
  <c r="D47" i="7" s="1"/>
  <c r="S52" i="4"/>
  <c r="T52" i="4"/>
  <c r="V52" i="4"/>
  <c r="W52" i="4"/>
  <c r="X52" i="4"/>
  <c r="J47" i="7" s="1"/>
  <c r="Z52" i="4"/>
  <c r="H52" i="4"/>
  <c r="M47" i="7" l="1"/>
  <c r="P51" i="4"/>
  <c r="Q51" i="4"/>
  <c r="R51" i="4"/>
  <c r="D46" i="7" s="1"/>
  <c r="S51" i="4"/>
  <c r="T51" i="4"/>
  <c r="V51" i="4"/>
  <c r="W51" i="4"/>
  <c r="X51" i="4"/>
  <c r="J46" i="7" s="1"/>
  <c r="Y51" i="4"/>
  <c r="Z51" i="4"/>
  <c r="H51" i="4"/>
  <c r="M46" i="7" l="1"/>
  <c r="P50" i="4"/>
  <c r="Q50" i="4"/>
  <c r="R50" i="4"/>
  <c r="D45" i="7" s="1"/>
  <c r="S50" i="4"/>
  <c r="T50" i="4"/>
  <c r="V50" i="4"/>
  <c r="W50" i="4"/>
  <c r="X50" i="4"/>
  <c r="J45" i="7" s="1"/>
  <c r="Y50" i="4"/>
  <c r="Z50" i="4"/>
  <c r="H50" i="4"/>
  <c r="M45" i="7" l="1"/>
  <c r="Z49" i="4"/>
  <c r="Y49" i="4"/>
  <c r="X49" i="4"/>
  <c r="J44" i="7" s="1"/>
  <c r="W49" i="4"/>
  <c r="V49" i="4"/>
  <c r="T49" i="4"/>
  <c r="S49" i="4"/>
  <c r="R49" i="4"/>
  <c r="D44" i="7" s="1"/>
  <c r="Q49" i="4"/>
  <c r="P49" i="4"/>
  <c r="H49" i="4"/>
  <c r="M44" i="7" l="1"/>
  <c r="Z48" i="4"/>
  <c r="Y48" i="4"/>
  <c r="X48" i="4"/>
  <c r="J43" i="7" s="1"/>
  <c r="W48" i="4"/>
  <c r="V48" i="4"/>
  <c r="T48" i="4"/>
  <c r="S48" i="4"/>
  <c r="R48" i="4"/>
  <c r="D43" i="7" s="1"/>
  <c r="Q48" i="4"/>
  <c r="P48" i="4"/>
  <c r="H48" i="4"/>
  <c r="M43" i="7" s="1"/>
  <c r="X47" i="4" l="1"/>
  <c r="J42" i="7" s="1"/>
  <c r="X46" i="4"/>
  <c r="J41" i="7" s="1"/>
  <c r="X45" i="4"/>
  <c r="J40" i="7" s="1"/>
  <c r="Z47" i="4" l="1"/>
  <c r="Y47" i="4"/>
  <c r="W47" i="4"/>
  <c r="V47" i="4"/>
  <c r="T47" i="4"/>
  <c r="S47" i="4"/>
  <c r="R47" i="4"/>
  <c r="D42" i="7" s="1"/>
  <c r="Q47" i="4"/>
  <c r="P47" i="4"/>
  <c r="H47" i="4"/>
  <c r="M42" i="7" s="1"/>
  <c r="Z45" i="4" l="1"/>
  <c r="Y45" i="4"/>
  <c r="W45" i="4"/>
  <c r="V45" i="4"/>
  <c r="T45" i="4"/>
  <c r="S45" i="4"/>
  <c r="R45" i="4"/>
  <c r="D40" i="7" s="1"/>
  <c r="Q45" i="4"/>
  <c r="P45" i="4"/>
  <c r="H45" i="4"/>
  <c r="M40" i="7" l="1"/>
  <c r="U57" i="4"/>
  <c r="Z46" i="4"/>
  <c r="Y46" i="4"/>
  <c r="W46" i="4"/>
  <c r="V46" i="4"/>
  <c r="T46" i="4"/>
  <c r="S46" i="4"/>
  <c r="R46" i="4"/>
  <c r="D41" i="7" s="1"/>
  <c r="Q46" i="4"/>
  <c r="P46" i="4"/>
  <c r="H46" i="4"/>
  <c r="U58" i="4" l="1"/>
  <c r="M41" i="7"/>
  <c r="H36" i="4"/>
  <c r="H37" i="4"/>
  <c r="H38" i="4"/>
  <c r="H39" i="4"/>
  <c r="H40" i="4"/>
  <c r="H41" i="4"/>
  <c r="H42" i="4"/>
  <c r="H43" i="4"/>
  <c r="H44" i="4"/>
  <c r="Z44" i="4"/>
  <c r="Y44" i="4"/>
  <c r="X44" i="4"/>
  <c r="J39" i="7" s="1"/>
  <c r="W44" i="4"/>
  <c r="V44" i="4"/>
  <c r="T44" i="4"/>
  <c r="S44" i="4"/>
  <c r="R44" i="4"/>
  <c r="D39" i="7" s="1"/>
  <c r="Q44" i="4"/>
  <c r="P44" i="4"/>
  <c r="M38" i="7" l="1"/>
  <c r="U55" i="4"/>
  <c r="M35" i="7"/>
  <c r="U52" i="4"/>
  <c r="M33" i="7"/>
  <c r="U50" i="4"/>
  <c r="M39" i="7"/>
  <c r="U56" i="4"/>
  <c r="M37" i="7"/>
  <c r="U54" i="4"/>
  <c r="M36" i="7"/>
  <c r="U53" i="4"/>
  <c r="M34" i="7"/>
  <c r="U51" i="4"/>
  <c r="M32" i="7"/>
  <c r="U49" i="4"/>
  <c r="U48" i="4"/>
  <c r="M31" i="7"/>
  <c r="Z43" i="4"/>
  <c r="Y43" i="4"/>
  <c r="X43" i="4"/>
  <c r="J38" i="7" s="1"/>
  <c r="W43" i="4"/>
  <c r="V43" i="4"/>
  <c r="T43" i="4"/>
  <c r="S43" i="4"/>
  <c r="R43" i="4"/>
  <c r="D38" i="7" s="1"/>
  <c r="Q43" i="4"/>
  <c r="P43" i="4"/>
  <c r="Z42" i="4" l="1"/>
  <c r="Y42" i="4"/>
  <c r="X42" i="4"/>
  <c r="J37" i="7" s="1"/>
  <c r="W42" i="4"/>
  <c r="V42" i="4"/>
  <c r="T42" i="4"/>
  <c r="S42" i="4"/>
  <c r="R42" i="4"/>
  <c r="D37" i="7" s="1"/>
  <c r="Q42" i="4"/>
  <c r="P42" i="4"/>
  <c r="Z41" i="4" l="1"/>
  <c r="Y41" i="4"/>
  <c r="X41" i="4"/>
  <c r="J36" i="7" s="1"/>
  <c r="W41" i="4"/>
  <c r="V41" i="4"/>
  <c r="T41" i="4"/>
  <c r="S41" i="4"/>
  <c r="R41" i="4"/>
  <c r="D36" i="7" s="1"/>
  <c r="Q41" i="4"/>
  <c r="P41" i="4"/>
  <c r="Z40" i="4" l="1"/>
  <c r="Y40" i="4"/>
  <c r="X40" i="4"/>
  <c r="J35" i="7" s="1"/>
  <c r="W40" i="4"/>
  <c r="V40" i="4"/>
  <c r="T40" i="4"/>
  <c r="S40" i="4"/>
  <c r="R40" i="4"/>
  <c r="D35" i="7" s="1"/>
  <c r="Q40" i="4"/>
  <c r="P40" i="4"/>
  <c r="Z39" i="4"/>
  <c r="Y39" i="4"/>
  <c r="X39" i="4"/>
  <c r="J34" i="7" s="1"/>
  <c r="W39" i="4"/>
  <c r="V39" i="4"/>
  <c r="T39" i="4"/>
  <c r="S39" i="4"/>
  <c r="R39" i="4"/>
  <c r="D34" i="7" s="1"/>
  <c r="Q39" i="4"/>
  <c r="P39" i="4"/>
  <c r="Z38" i="4" l="1"/>
  <c r="Y38" i="4"/>
  <c r="X38" i="4"/>
  <c r="J33" i="7" s="1"/>
  <c r="W38" i="4"/>
  <c r="V38" i="4"/>
  <c r="T38" i="4"/>
  <c r="S38" i="4"/>
  <c r="R38" i="4"/>
  <c r="D33" i="7" s="1"/>
  <c r="Q38" i="4"/>
  <c r="P38" i="4"/>
  <c r="Z37" i="4" l="1"/>
  <c r="Z36" i="4"/>
  <c r="Z35" i="4"/>
  <c r="Z34" i="4"/>
  <c r="Z33" i="4"/>
  <c r="Z32" i="4"/>
  <c r="Z31" i="4"/>
  <c r="Z30" i="4"/>
  <c r="Z29" i="4"/>
  <c r="Z28" i="4"/>
  <c r="Y37" i="4"/>
  <c r="X37" i="4"/>
  <c r="J32" i="7" s="1"/>
  <c r="W37" i="4"/>
  <c r="V37" i="4"/>
  <c r="T37" i="4"/>
  <c r="S37" i="4"/>
  <c r="R37" i="4"/>
  <c r="D32" i="7" s="1"/>
  <c r="Q37" i="4"/>
  <c r="P37" i="4"/>
  <c r="Y36" i="4"/>
  <c r="X36" i="4"/>
  <c r="J31" i="7" s="1"/>
  <c r="W36" i="4"/>
  <c r="V36" i="4"/>
  <c r="T36" i="4"/>
  <c r="S36" i="4"/>
  <c r="R36" i="4"/>
  <c r="D31" i="7" s="1"/>
  <c r="Q36" i="4"/>
  <c r="P36" i="4"/>
  <c r="Y35" i="4"/>
  <c r="X35" i="4"/>
  <c r="J30" i="7" s="1"/>
  <c r="W35" i="4"/>
  <c r="V35" i="4"/>
  <c r="T35" i="4"/>
  <c r="S35" i="4"/>
  <c r="R35" i="4"/>
  <c r="D30" i="7" s="1"/>
  <c r="Q35" i="4"/>
  <c r="P35" i="4"/>
  <c r="Y34" i="4"/>
  <c r="X34" i="4"/>
  <c r="J29" i="7" s="1"/>
  <c r="W34" i="4"/>
  <c r="V34" i="4"/>
  <c r="T34" i="4"/>
  <c r="S34" i="4"/>
  <c r="R34" i="4"/>
  <c r="D29" i="7" s="1"/>
  <c r="Q34" i="4"/>
  <c r="P34" i="4"/>
  <c r="Y33" i="4"/>
  <c r="X33" i="4"/>
  <c r="J28" i="7" s="1"/>
  <c r="W33" i="4"/>
  <c r="V33" i="4"/>
  <c r="T33" i="4"/>
  <c r="S33" i="4"/>
  <c r="R33" i="4"/>
  <c r="D28" i="7" s="1"/>
  <c r="Q33" i="4"/>
  <c r="P33" i="4"/>
  <c r="Y32" i="4"/>
  <c r="X32" i="4"/>
  <c r="J27" i="7" s="1"/>
  <c r="W32" i="4"/>
  <c r="V32" i="4"/>
  <c r="T32" i="4"/>
  <c r="S32" i="4"/>
  <c r="R32" i="4"/>
  <c r="D27" i="7" s="1"/>
  <c r="Q32" i="4"/>
  <c r="P32" i="4"/>
  <c r="Y31" i="4"/>
  <c r="X31" i="4"/>
  <c r="J26" i="7" s="1"/>
  <c r="W31" i="4"/>
  <c r="V31" i="4"/>
  <c r="T31" i="4"/>
  <c r="S31" i="4"/>
  <c r="R31" i="4"/>
  <c r="D26" i="7" s="1"/>
  <c r="Q31" i="4"/>
  <c r="P31" i="4"/>
  <c r="Y30" i="4"/>
  <c r="X30" i="4"/>
  <c r="J25" i="7" s="1"/>
  <c r="W30" i="4"/>
  <c r="V30" i="4"/>
  <c r="T30" i="4"/>
  <c r="S30" i="4"/>
  <c r="R30" i="4"/>
  <c r="D25" i="7" s="1"/>
  <c r="Q30" i="4"/>
  <c r="P30" i="4"/>
  <c r="Y29" i="4"/>
  <c r="X29" i="4"/>
  <c r="J24" i="7" s="1"/>
  <c r="W29" i="4"/>
  <c r="V29" i="4"/>
  <c r="T29" i="4"/>
  <c r="S29" i="4"/>
  <c r="R29" i="4"/>
  <c r="D24" i="7" s="1"/>
  <c r="Q29" i="4"/>
  <c r="P29" i="4"/>
  <c r="Y28" i="4"/>
  <c r="X28" i="4"/>
  <c r="J23" i="7" s="1"/>
  <c r="W28" i="4"/>
  <c r="V28" i="4"/>
  <c r="T28" i="4"/>
  <c r="S28" i="4"/>
  <c r="R28" i="4"/>
  <c r="D23" i="7" s="1"/>
  <c r="Q28" i="4"/>
  <c r="P28" i="4"/>
  <c r="Y27" i="4"/>
  <c r="X27" i="4"/>
  <c r="J22" i="7" s="1"/>
  <c r="W27" i="4"/>
  <c r="V27" i="4"/>
  <c r="T27" i="4"/>
  <c r="S27" i="4"/>
  <c r="R27" i="4"/>
  <c r="D22" i="7" s="1"/>
  <c r="Q27" i="4"/>
  <c r="P27" i="4"/>
  <c r="Y26" i="4"/>
  <c r="X26" i="4"/>
  <c r="J21" i="7" s="1"/>
  <c r="W26" i="4"/>
  <c r="V26" i="4"/>
  <c r="T26" i="4"/>
  <c r="S26" i="4"/>
  <c r="R26" i="4"/>
  <c r="D21" i="7" s="1"/>
  <c r="Q26" i="4"/>
  <c r="P26" i="4"/>
  <c r="Y25" i="4"/>
  <c r="X25" i="4"/>
  <c r="J20" i="7" s="1"/>
  <c r="W25" i="4"/>
  <c r="V25" i="4"/>
  <c r="T25" i="4"/>
  <c r="S25" i="4"/>
  <c r="R25" i="4"/>
  <c r="D20" i="7" s="1"/>
  <c r="Q25" i="4"/>
  <c r="P25" i="4"/>
  <c r="Y24" i="4"/>
  <c r="X24" i="4"/>
  <c r="J19" i="7" s="1"/>
  <c r="W24" i="4"/>
  <c r="V24" i="4"/>
  <c r="T24" i="4"/>
  <c r="S24" i="4"/>
  <c r="R24" i="4"/>
  <c r="D19" i="7" s="1"/>
  <c r="Q24" i="4"/>
  <c r="H34" i="4" l="1"/>
  <c r="U47" i="4" l="1"/>
  <c r="M29" i="7"/>
  <c r="H35" i="4"/>
  <c r="M30" i="7" s="1"/>
  <c r="Z27" i="4" l="1"/>
  <c r="P24" i="4"/>
  <c r="Y23" i="4"/>
  <c r="X23" i="4"/>
  <c r="J18" i="7" s="1"/>
  <c r="W23" i="4"/>
  <c r="V23" i="4"/>
  <c r="T23" i="4"/>
  <c r="S23" i="4"/>
  <c r="R23" i="4"/>
  <c r="D18" i="7" s="1"/>
  <c r="Q23" i="4"/>
  <c r="P23" i="4"/>
  <c r="Y22" i="4"/>
  <c r="X22" i="4"/>
  <c r="J17" i="7" s="1"/>
  <c r="W22" i="4"/>
  <c r="V22" i="4"/>
  <c r="T22" i="4"/>
  <c r="S22" i="4"/>
  <c r="R22" i="4"/>
  <c r="D17" i="7" s="1"/>
  <c r="Q22" i="4"/>
  <c r="P22" i="4"/>
  <c r="Y21" i="4"/>
  <c r="X21" i="4"/>
  <c r="J16" i="7" s="1"/>
  <c r="W21" i="4"/>
  <c r="V21" i="4"/>
  <c r="T21" i="4"/>
  <c r="S21" i="4"/>
  <c r="R21" i="4"/>
  <c r="D16" i="7" s="1"/>
  <c r="Q21" i="4"/>
  <c r="P21" i="4"/>
  <c r="Y20" i="4"/>
  <c r="X20" i="4"/>
  <c r="J15" i="7" s="1"/>
  <c r="W20" i="4"/>
  <c r="V20" i="4"/>
  <c r="T20" i="4"/>
  <c r="S20" i="4"/>
  <c r="R20" i="4"/>
  <c r="D15" i="7" s="1"/>
  <c r="Q20" i="4"/>
  <c r="P20" i="4"/>
  <c r="Y19" i="4"/>
  <c r="X19" i="4"/>
  <c r="J14" i="7" s="1"/>
  <c r="W19" i="4"/>
  <c r="V19" i="4"/>
  <c r="T19" i="4"/>
  <c r="S19" i="4"/>
  <c r="R19" i="4"/>
  <c r="D14" i="7" s="1"/>
  <c r="Q19" i="4"/>
  <c r="P19" i="4"/>
  <c r="Y18" i="4"/>
  <c r="X18" i="4"/>
  <c r="J13" i="7" s="1"/>
  <c r="W18" i="4"/>
  <c r="V18" i="4"/>
  <c r="T18" i="4"/>
  <c r="S18" i="4"/>
  <c r="R18" i="4"/>
  <c r="D13" i="7" s="1"/>
  <c r="Q18" i="4"/>
  <c r="P18" i="4"/>
  <c r="Y17" i="4"/>
  <c r="X17" i="4"/>
  <c r="J12" i="7" s="1"/>
  <c r="W17" i="4"/>
  <c r="V17" i="4"/>
  <c r="T17" i="4"/>
  <c r="S17" i="4"/>
  <c r="R17" i="4"/>
  <c r="D12" i="7" s="1"/>
  <c r="Q17" i="4"/>
  <c r="P17" i="4"/>
  <c r="H29" i="4" l="1"/>
  <c r="U41" i="4" l="1"/>
  <c r="M24" i="7"/>
  <c r="H33" i="4"/>
  <c r="U46" i="4" l="1"/>
  <c r="M28" i="7"/>
  <c r="H12" i="4"/>
  <c r="M7" i="7" s="1"/>
  <c r="H13" i="4"/>
  <c r="M8" i="7" s="1"/>
  <c r="H14" i="4"/>
  <c r="M9" i="7" s="1"/>
  <c r="H15" i="4"/>
  <c r="M10" i="7" s="1"/>
  <c r="H16" i="4"/>
  <c r="M11" i="7" s="1"/>
  <c r="H17" i="4"/>
  <c r="H18" i="4"/>
  <c r="M13" i="7" s="1"/>
  <c r="H19" i="4"/>
  <c r="M14" i="7" s="1"/>
  <c r="H20" i="4"/>
  <c r="M15" i="7" s="1"/>
  <c r="H21" i="4"/>
  <c r="H22" i="4"/>
  <c r="H23" i="4"/>
  <c r="H24" i="4"/>
  <c r="M19" i="7" s="1"/>
  <c r="H25" i="4"/>
  <c r="M20" i="7" s="1"/>
  <c r="H26" i="4"/>
  <c r="M21" i="7" s="1"/>
  <c r="H27" i="4"/>
  <c r="H28" i="4"/>
  <c r="M23" i="7" s="1"/>
  <c r="H30" i="4"/>
  <c r="H31" i="4"/>
  <c r="M26" i="7" s="1"/>
  <c r="H32" i="4"/>
  <c r="H6" i="4"/>
  <c r="U18" i="4" s="1"/>
  <c r="H7" i="4"/>
  <c r="U19" i="4" s="1"/>
  <c r="H8" i="4"/>
  <c r="H9" i="4"/>
  <c r="M4" i="7" s="1"/>
  <c r="H10" i="4"/>
  <c r="M5" i="7" s="1"/>
  <c r="H11" i="4"/>
  <c r="M6" i="7" s="1"/>
  <c r="H5" i="4"/>
  <c r="U39" i="4" l="1"/>
  <c r="M22" i="7"/>
  <c r="U45" i="4"/>
  <c r="M27" i="7"/>
  <c r="U34" i="4"/>
  <c r="M17" i="7"/>
  <c r="U29" i="4"/>
  <c r="M12" i="7"/>
  <c r="U42" i="4"/>
  <c r="M25" i="7"/>
  <c r="U35" i="4"/>
  <c r="M18" i="7"/>
  <c r="U33" i="4"/>
  <c r="M16" i="7"/>
  <c r="U20" i="4"/>
  <c r="U31" i="4"/>
  <c r="U43" i="4"/>
  <c r="U28" i="4"/>
  <c r="U40" i="4"/>
  <c r="U32" i="4"/>
  <c r="U44" i="4"/>
  <c r="U30" i="4"/>
  <c r="U27" i="4"/>
  <c r="U22" i="4"/>
  <c r="U21" i="4"/>
  <c r="U38" i="4"/>
  <c r="U26" i="4"/>
  <c r="U37" i="4"/>
  <c r="U25" i="4"/>
  <c r="U36" i="4"/>
  <c r="U24" i="4"/>
  <c r="U17" i="4"/>
  <c r="U23" i="4"/>
</calcChain>
</file>

<file path=xl/sharedStrings.xml><?xml version="1.0" encoding="utf-8"?>
<sst xmlns="http://schemas.openxmlformats.org/spreadsheetml/2006/main" count="49" uniqueCount="22">
  <si>
    <t>카지노 순매출</t>
  </si>
  <si>
    <t>테이블</t>
  </si>
  <si>
    <t>머신</t>
  </si>
  <si>
    <t>총계</t>
  </si>
  <si>
    <t>카지노 홀드율</t>
  </si>
  <si>
    <t>카지노 드롭액</t>
  </si>
  <si>
    <t>월</t>
  </si>
  <si>
    <t>롯데관광개발 (드림타워 카지노)</t>
  </si>
  <si>
    <t>(단위 : 백만원, %, 명)</t>
  </si>
  <si>
    <t>카지노
방문객</t>
    <phoneticPr fontId="85" type="noConversion"/>
  </si>
  <si>
    <r>
      <rPr>
        <sz val="11"/>
        <color theme="1"/>
        <rFont val="맑은 고딕"/>
        <family val="3"/>
        <charset val="129"/>
      </rPr>
      <t>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롯데관광개발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드림타워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카지노의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월별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영업실적입니다</t>
    </r>
    <r>
      <rPr>
        <sz val="11"/>
        <color theme="1"/>
        <rFont val="Arial"/>
        <family val="2"/>
      </rPr>
      <t xml:space="preserve">. 
</t>
    </r>
    <r>
      <rPr>
        <sz val="11"/>
        <color theme="1"/>
        <rFont val="맑은 고딕"/>
        <family val="3"/>
        <charset val="129"/>
      </rPr>
      <t>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외부감사인의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검토가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완료되지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않은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투자자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편의를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위하여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작성된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자료이며</t>
    </r>
    <r>
      <rPr>
        <sz val="11"/>
        <color theme="1"/>
        <rFont val="Arial"/>
        <family val="2"/>
      </rPr>
      <t xml:space="preserve">,
</t>
    </r>
    <r>
      <rPr>
        <sz val="11"/>
        <color theme="1"/>
        <rFont val="맑은 고딕"/>
        <family val="3"/>
        <charset val="129"/>
      </rPr>
      <t>본자료의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감사인의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과정에서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변경될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있습니다</t>
    </r>
    <r>
      <rPr>
        <sz val="11"/>
        <color theme="1"/>
        <rFont val="Arial"/>
        <family val="2"/>
      </rPr>
      <t xml:space="preserve">.
</t>
    </r>
    <r>
      <rPr>
        <sz val="11"/>
        <color theme="1"/>
        <rFont val="맑은 고딕"/>
        <family val="3"/>
        <charset val="129"/>
      </rPr>
      <t>이러한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불확실성으로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인해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회사의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실적은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자료에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명시되어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있거나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묵시적으로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포함된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내용과</t>
    </r>
    <r>
      <rPr>
        <sz val="11"/>
        <color theme="1"/>
        <rFont val="Arial"/>
        <family val="2"/>
      </rPr>
      <t xml:space="preserve">    </t>
    </r>
    <r>
      <rPr>
        <sz val="11"/>
        <color theme="1"/>
        <rFont val="맑은 고딕"/>
        <family val="3"/>
        <charset val="129"/>
      </rPr>
      <t>차이가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양지하여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주시기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바랍니다</t>
    </r>
    <r>
      <rPr>
        <sz val="11"/>
        <color theme="1"/>
        <rFont val="Arial"/>
        <family val="2"/>
      </rPr>
      <t xml:space="preserve">.
</t>
    </r>
    <r>
      <rPr>
        <sz val="11"/>
        <color theme="1"/>
        <rFont val="맑은 고딕"/>
        <family val="3"/>
        <charset val="129"/>
      </rPr>
      <t>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롯데관광개발의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서면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승인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형식으로도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배포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수정할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없습니다</t>
    </r>
    <r>
      <rPr>
        <sz val="11"/>
        <color theme="1"/>
        <rFont val="Arial"/>
        <family val="2"/>
      </rPr>
      <t xml:space="preserve">. 
</t>
    </r>
    <r>
      <rPr>
        <sz val="11"/>
        <color theme="1"/>
        <rFont val="맑은 고딕"/>
        <family val="3"/>
        <charset val="129"/>
      </rPr>
      <t>또한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외부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환경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혹은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여건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변경에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별도의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공지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수정될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있음을</t>
    </r>
    <r>
      <rPr>
        <sz val="11"/>
        <color theme="1"/>
        <rFont val="Arial"/>
        <family val="2"/>
      </rPr>
      <t xml:space="preserve">           </t>
    </r>
    <r>
      <rPr>
        <sz val="11"/>
        <color theme="1"/>
        <rFont val="맑은 고딕"/>
        <family val="3"/>
        <charset val="129"/>
      </rPr>
      <t>알려드립니다</t>
    </r>
    <r>
      <rPr>
        <sz val="11"/>
        <color theme="1"/>
        <rFont val="Arial"/>
        <family val="2"/>
      </rPr>
      <t xml:space="preserve">. 
</t>
    </r>
    <phoneticPr fontId="85" type="noConversion"/>
  </si>
  <si>
    <t>호텔
매출액</t>
    <phoneticPr fontId="85" type="noConversion"/>
  </si>
  <si>
    <t>y-y</t>
    <phoneticPr fontId="85" type="noConversion"/>
  </si>
  <si>
    <r>
      <rPr>
        <b/>
        <sz val="10"/>
        <color theme="0"/>
        <rFont val="맑은 고딕"/>
        <family val="3"/>
        <charset val="129"/>
      </rPr>
      <t>카지노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맑은 고딕"/>
        <family val="2"/>
        <charset val="129"/>
      </rPr>
      <t>홀드율</t>
    </r>
    <phoneticPr fontId="85" type="noConversion"/>
  </si>
  <si>
    <t>총계</t>
    <phoneticPr fontId="85" type="noConversion"/>
  </si>
  <si>
    <r>
      <rPr>
        <sz val="10"/>
        <color rgb="FFFF0000"/>
        <rFont val="맑은 고딕"/>
        <family val="3"/>
        <charset val="129"/>
      </rPr>
      <t>↓</t>
    </r>
    <r>
      <rPr>
        <sz val="10"/>
        <color rgb="FFFF0000"/>
        <rFont val="Arial"/>
        <family val="2"/>
      </rPr>
      <t xml:space="preserve"> 수식</t>
    </r>
    <phoneticPr fontId="85" type="noConversion"/>
  </si>
  <si>
    <t>드롭액</t>
  </si>
  <si>
    <t>y-y</t>
  </si>
  <si>
    <t>인당드롭액</t>
  </si>
  <si>
    <t>전체 고객수</t>
  </si>
  <si>
    <t>매출액</t>
  </si>
  <si>
    <t>홀드율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</si>
</sst>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7"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0.0%"/>
    <numFmt numFmtId="181" formatCode="dd\-mmm\-yy"/>
    <numFmt numFmtId="182" formatCode="_ * #,##0.00_ ;_ * \-#,##0.00_ ;_ * &quot;-&quot;??_ ;_ @_ "/>
    <numFmt numFmtId="183" formatCode="#,##0.0_);[Red]\(#,##0.0\)"/>
    <numFmt numFmtId="184" formatCode="yyyy&quot;/&quot;m&quot;/&quot;d"/>
    <numFmt numFmtId="185" formatCode="\(0\)"/>
    <numFmt numFmtId="186" formatCode="\(0.0\)"/>
    <numFmt numFmtId="187" formatCode="\(0.00\)"/>
    <numFmt numFmtId="188" formatCode="\(\-0.0\)"/>
    <numFmt numFmtId="189" formatCode="\(\-\-0.0\)"/>
    <numFmt numFmtId="190" formatCode="\(#,##0\)"/>
    <numFmt numFmtId="191" formatCode="yy&quot;-&quot;m&quot;-&quot;d"/>
    <numFmt numFmtId="192" formatCode="\(0%\)"/>
    <numFmt numFmtId="193" formatCode="#,##0.000"/>
    <numFmt numFmtId="194" formatCode="\(0.0%\);[Red]\(\-0.0%\)"/>
    <numFmt numFmtId="195" formatCode=".\-############################################;###################################"/>
    <numFmt numFmtId="196" formatCode="#,##0.000;[Red]\-#,##0.000"/>
    <numFmt numFmtId="197" formatCode="&quot;₩&quot;#,##0;&quot;₩&quot;&quot;₩&quot;\-#,##0"/>
    <numFmt numFmtId="198" formatCode="&quot;₩&quot;#,##0;[Red]&quot;₩&quot;&quot;₩&quot;\-#,##0"/>
    <numFmt numFmtId="199" formatCode="&quot;₩&quot;#,##0.00;&quot;₩&quot;&quot;₩&quot;\-#,##0.00"/>
    <numFmt numFmtId="200" formatCode="&quot;₩&quot;#,##0.00;[Red]&quot;₩&quot;&quot;₩&quot;\-#,##0.00"/>
    <numFmt numFmtId="201" formatCode="_ &quot;₩&quot;* #,##0_ ;_ &quot;₩&quot;* &quot;₩&quot;\-#,##0_ ;_ &quot;₩&quot;* &quot;-&quot;_ ;_ @_ "/>
    <numFmt numFmtId="202" formatCode="_ * #,##0_ ;_ * &quot;₩&quot;\-#,##0_ ;_ * &quot;-&quot;_ ;_ @_ "/>
    <numFmt numFmtId="203" formatCode="_ &quot;₩&quot;* #,##0.00_ ;_ &quot;₩&quot;* &quot;₩&quot;\-#,##0.00_ ;_ &quot;₩&quot;* &quot;-&quot;??_ ;_ @_ "/>
    <numFmt numFmtId="204" formatCode="_ * #,##0.00_ ;_ * &quot;₩&quot;\-#,##0.00_ ;_ * &quot;-&quot;??_ ;_ @_ "/>
    <numFmt numFmtId="205" formatCode="&quot;₩&quot;#,##0;&quot;₩&quot;&quot;₩&quot;&quot;₩&quot;\-#,##0"/>
    <numFmt numFmtId="206" formatCode="&quot;₩&quot;#,##0;[Red]&quot;₩&quot;&quot;₩&quot;&quot;₩&quot;\-#,##0"/>
    <numFmt numFmtId="207" formatCode="&quot;₩&quot;#,##0.00;&quot;₩&quot;&quot;₩&quot;&quot;₩&quot;\-#,##0.00"/>
    <numFmt numFmtId="208" formatCode="&quot;₩&quot;#,##0.00;[Red]&quot;₩&quot;&quot;₩&quot;&quot;₩&quot;\-#,##0.00"/>
    <numFmt numFmtId="209" formatCode="_ &quot;₩&quot;* #,##0_ ;_ &quot;₩&quot;* &quot;₩&quot;&quot;₩&quot;\-#,##0_ ;_ &quot;₩&quot;* &quot;-&quot;_ ;_ @_ "/>
    <numFmt numFmtId="210" formatCode="_ * #,##0_ ;_ * &quot;₩&quot;&quot;₩&quot;\-#,##0_ ;_ * &quot;-&quot;_ ;_ @_ "/>
    <numFmt numFmtId="211" formatCode="_ &quot;₩&quot;* #,##0.00_ ;_ &quot;₩&quot;* \-#,##0.00_ ;_ &quot;₩&quot;* &quot;-&quot;??_ ;_ @_ "/>
    <numFmt numFmtId="212" formatCode="&quot;$&quot;#,##0;[Red]&quot;$&quot;\-#,##0"/>
    <numFmt numFmtId="213" formatCode="_ &quot;₩&quot;* #,##0_ ;_ &quot;₩&quot;* \-#,##0_ ;_ &quot;₩&quot;* &quot;-&quot;_ ;_ @_ "/>
    <numFmt numFmtId="214" formatCode="&quot;$&quot;#,##0.00;&quot;$&quot;\-#,##0.00"/>
    <numFmt numFmtId="215" formatCode="_ * #,##0_ ;_ * \-#,##0_ ;_ * &quot;-&quot;_ ;_ @_ "/>
    <numFmt numFmtId="216" formatCode="_(&quot;$&quot;* #,##0.000_);_(&quot;$&quot;* \(#,##0.000\);_(&quot;$&quot;* &quot;-&quot;??_);_(@_)"/>
    <numFmt numFmtId="217" formatCode="#,##0;\(#,##0\)"/>
    <numFmt numFmtId="218" formatCode="General_)"/>
    <numFmt numFmtId="219" formatCode="\U\$\ #,##0.&quot;/MT&quot;"/>
    <numFmt numFmtId="220" formatCode="_(&quot;$&quot;* #,##0.0_);_(&quot;$&quot;* \(#,##0.0\);_(&quot;$&quot;* &quot;-&quot;??_);_(@_)"/>
    <numFmt numFmtId="221" formatCode="yyyy&quot;-&quot;m&quot;-&quot;d"/>
    <numFmt numFmtId="222" formatCode="#,##0;[Red]\(#,##0\)"/>
    <numFmt numFmtId="223" formatCode="0.00%;\(0.00%\)"/>
    <numFmt numFmtId="224" formatCode="#,##0.0;\(#,##0.0\)"/>
    <numFmt numFmtId="225" formatCode="#,##0.00;\(#,##0.00\)"/>
    <numFmt numFmtId="226" formatCode="_ * #,##0.0_ ;_ * \-#,##0.0_ ;_ * &quot;-&quot;??_ ;_ @_ "/>
    <numFmt numFmtId="227" formatCode="0.0000%"/>
    <numFmt numFmtId="228" formatCode="0.00_)"/>
    <numFmt numFmtId="229" formatCode="#,##0.0\x;\(#,##0.0\x\)"/>
    <numFmt numFmtId="230" formatCode="yy&quot;/&quot;m&quot;/&quot;d"/>
    <numFmt numFmtId="231" formatCode="#,##0.00;[Red]\(#,##0.00\)"/>
    <numFmt numFmtId="232" formatCode="###0"/>
    <numFmt numFmtId="233" formatCode="&quot;₩&quot;#,##0;&quot;₩&quot;&quot;₩&quot;&quot;₩&quot;&quot;₩&quot;\-#,##0"/>
    <numFmt numFmtId="234" formatCode="&quot;$&quot;#,##0.00_);[Red]&quot;₩&quot;\(&quot;$&quot;#,##0.00&quot;₩&quot;\)"/>
    <numFmt numFmtId="235" formatCode="#,##0;[Red]&quot;-&quot;#,##0"/>
    <numFmt numFmtId="236" formatCode="mm&quot;월&quot;\ dd&quot;일&quot;"/>
    <numFmt numFmtId="237" formatCode="_ * #,##0.00_ ;_ * \-#,##0.00_ ;_ * &quot;-&quot;_ ;_ @_ "/>
    <numFmt numFmtId="238" formatCode="&quot;₩&quot;#,##0;&quot;₩&quot;\-#,##0"/>
    <numFmt numFmtId="239" formatCode="_-* #,##0.0_-;\-* #,##0.0_-;_-* &quot;-&quot;??_-;_-@_-"/>
    <numFmt numFmtId="240" formatCode="_-* #,##0.0_-;\-* #,##0.0_-;_-* &quot;-&quot;_-;_-@_-"/>
  </numFmts>
  <fonts count="9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6"/>
      <color indexed="62"/>
      <name val="Arial"/>
      <family val="2"/>
    </font>
    <font>
      <sz val="11"/>
      <color theme="1"/>
      <name val="맑은 고딕"/>
      <family val="3"/>
      <charset val="129"/>
      <scheme val="major"/>
    </font>
    <font>
      <b/>
      <sz val="9"/>
      <color indexed="9"/>
      <name val="Arial"/>
      <family val="2"/>
    </font>
    <font>
      <sz val="8"/>
      <name val="Arial"/>
      <family val="2"/>
    </font>
    <font>
      <sz val="11"/>
      <name val="돋움"/>
      <family val="3"/>
      <charset val="129"/>
    </font>
    <font>
      <sz val="10"/>
      <name val="바탕체"/>
      <family val="1"/>
      <charset val="129"/>
    </font>
    <font>
      <sz val="9"/>
      <name val="Arial"/>
      <family val="2"/>
    </font>
    <font>
      <b/>
      <sz val="9"/>
      <color indexed="1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sz val="9"/>
      <color indexed="9"/>
      <name val="Arial"/>
      <family val="2"/>
    </font>
    <font>
      <b/>
      <sz val="9"/>
      <color indexed="8"/>
      <name val="Arial"/>
      <family val="2"/>
    </font>
    <font>
      <sz val="9"/>
      <color indexed="10"/>
      <name val="Arial"/>
      <family val="2"/>
    </font>
    <font>
      <b/>
      <sz val="10"/>
      <name val="MS Sans Serif"/>
      <family val="2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sz val="10"/>
      <color indexed="12"/>
      <name val="Helv"/>
      <family val="2"/>
    </font>
    <font>
      <sz val="10"/>
      <name val="굴림체"/>
      <family val="3"/>
      <charset val="129"/>
    </font>
    <font>
      <sz val="10"/>
      <name val="Times New Roman"/>
      <family val="1"/>
    </font>
    <font>
      <sz val="12"/>
      <name val="Times New Roman"/>
      <family val="1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Geneva"/>
      <family val="2"/>
    </font>
    <font>
      <sz val="8"/>
      <name val="Times New Roman"/>
      <family val="1"/>
    </font>
    <font>
      <sz val="16"/>
      <name val="굴림체"/>
      <family val="3"/>
      <charset val="129"/>
    </font>
    <font>
      <b/>
      <sz val="1"/>
      <color indexed="23"/>
      <name val="Courier"/>
      <family val="3"/>
    </font>
    <font>
      <b/>
      <sz val="1"/>
      <color indexed="8"/>
      <name val="Courier"/>
      <family val="3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0"/>
      <color indexed="9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0"/>
      <name val="Palatino"/>
      <family val="1"/>
    </font>
    <font>
      <i/>
      <sz val="10"/>
      <name val="Helvetica"/>
      <family val="2"/>
    </font>
    <font>
      <sz val="11"/>
      <name val="µ¸¿ò"/>
      <family val="3"/>
      <charset val="129"/>
    </font>
    <font>
      <sz val="10"/>
      <color indexed="8"/>
      <name val="Arial"/>
      <family val="2"/>
    </font>
    <font>
      <sz val="10"/>
      <name val="Serifa 45"/>
      <family val="2"/>
    </font>
    <font>
      <b/>
      <sz val="8"/>
      <color indexed="12"/>
      <name val="Times New Roman"/>
      <family val="1"/>
    </font>
    <font>
      <b/>
      <sz val="9"/>
      <color indexed="52"/>
      <name val="Arial"/>
      <family val="2"/>
    </font>
    <font>
      <sz val="9"/>
      <color indexed="20"/>
      <name val="Arial"/>
      <family val="2"/>
    </font>
    <font>
      <u/>
      <sz val="7.5"/>
      <color indexed="36"/>
      <name val="Arial"/>
      <family val="2"/>
    </font>
    <font>
      <sz val="14"/>
      <name val="뼻뮝"/>
      <family val="3"/>
      <charset val="129"/>
    </font>
    <font>
      <sz val="11"/>
      <color indexed="8"/>
      <name val="돋움"/>
      <family val="3"/>
      <charset val="129"/>
    </font>
    <font>
      <sz val="9"/>
      <color indexed="60"/>
      <name val="Arial"/>
      <family val="2"/>
    </font>
    <font>
      <sz val="12"/>
      <name val="뼻뮝"/>
      <family val="1"/>
      <charset val="129"/>
    </font>
    <font>
      <i/>
      <sz val="9"/>
      <color indexed="18"/>
      <name val="Arial"/>
      <family val="2"/>
    </font>
    <font>
      <b/>
      <sz val="12"/>
      <color indexed="16"/>
      <name val="굴림체"/>
      <family val="3"/>
      <charset val="129"/>
    </font>
    <font>
      <sz val="9"/>
      <color indexed="52"/>
      <name val="Arial"/>
      <family val="2"/>
    </font>
    <font>
      <sz val="9"/>
      <color indexed="62"/>
      <name val="Arial"/>
      <family val="2"/>
    </font>
    <font>
      <sz val="10"/>
      <color indexed="24"/>
      <name val="MS Sans Serif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b/>
      <sz val="18"/>
      <color indexed="62"/>
      <name val="맑은 고딕"/>
      <family val="3"/>
      <charset val="129"/>
    </font>
    <font>
      <sz val="9"/>
      <color indexed="17"/>
      <name val="Arial"/>
      <family val="2"/>
    </font>
    <font>
      <sz val="11"/>
      <name val="굴림체"/>
      <family val="3"/>
      <charset val="129"/>
    </font>
    <font>
      <sz val="11"/>
      <color theme="1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0"/>
      <color theme="0"/>
      <name val="Arial"/>
      <family val="2"/>
    </font>
    <font>
      <b/>
      <sz val="16"/>
      <color theme="1" tint="4.9989318521683403E-2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0"/>
      <color rgb="FFFF0000"/>
      <name val="Arial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Arial"/>
      <family val="2"/>
    </font>
    <font>
      <b/>
      <sz val="10"/>
      <color theme="0"/>
      <name val="맑은 고딕"/>
      <family val="2"/>
      <charset val="129"/>
    </font>
  </fonts>
  <fills count="3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63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8"/>
      </patternFill>
    </fill>
    <fill>
      <patternFill patternType="solid">
        <fgColor indexed="33"/>
        <bgColor indexed="64"/>
      </patternFill>
    </fill>
    <fill>
      <patternFill patternType="solid">
        <fgColor indexed="18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ouble">
        <color indexed="1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/>
      <top style="double">
        <color indexed="64"/>
      </top>
      <bottom/>
      <diagonal/>
    </border>
  </borders>
  <cellStyleXfs count="8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/>
    <xf numFmtId="0" fontId="8" fillId="3" borderId="0">
      <alignment horizontal="left"/>
    </xf>
    <xf numFmtId="0" fontId="9" fillId="0" borderId="0"/>
    <xf numFmtId="0" fontId="10" fillId="0" borderId="0">
      <protection hidden="1"/>
    </xf>
    <xf numFmtId="0" fontId="6" fillId="3" borderId="0">
      <alignment horizontal="left" wrapText="1"/>
    </xf>
    <xf numFmtId="0" fontId="10" fillId="4" borderId="0">
      <alignment horizontal="left"/>
    </xf>
    <xf numFmtId="0" fontId="9" fillId="0" borderId="0" applyNumberFormat="0">
      <protection locked="0"/>
    </xf>
    <xf numFmtId="0" fontId="11" fillId="4" borderId="9">
      <alignment horizontal="center" wrapText="1"/>
    </xf>
    <xf numFmtId="0" fontId="10" fillId="4" borderId="9">
      <alignment horizontal="center" wrapText="1"/>
    </xf>
    <xf numFmtId="0" fontId="12" fillId="0" borderId="0"/>
    <xf numFmtId="0" fontId="12" fillId="5" borderId="0" applyNumberFormat="0">
      <alignment horizontal="right" wrapText="1"/>
    </xf>
    <xf numFmtId="0" fontId="12" fillId="6" borderId="0" applyNumberFormat="0">
      <alignment horizontal="right" wrapText="1"/>
      <protection locked="0"/>
    </xf>
    <xf numFmtId="0" fontId="13" fillId="7" borderId="0">
      <alignment horizontal="right"/>
    </xf>
    <xf numFmtId="181" fontId="13" fillId="7" borderId="0">
      <alignment horizontal="right"/>
    </xf>
    <xf numFmtId="0" fontId="13" fillId="7" borderId="0">
      <alignment horizontal="left"/>
    </xf>
    <xf numFmtId="0" fontId="4" fillId="0" borderId="0"/>
    <xf numFmtId="0" fontId="14" fillId="7" borderId="0">
      <alignment horizontal="left"/>
    </xf>
    <xf numFmtId="0" fontId="15" fillId="7" borderId="0">
      <alignment horizontal="left"/>
    </xf>
    <xf numFmtId="0" fontId="15" fillId="7" borderId="0">
      <alignment horizontal="left"/>
    </xf>
    <xf numFmtId="3" fontId="16" fillId="0" borderId="0"/>
    <xf numFmtId="182" fontId="12" fillId="0" borderId="0" applyFont="0" applyFill="0" applyBorder="0" applyAlignment="0" applyProtection="0"/>
    <xf numFmtId="0" fontId="2" fillId="0" borderId="0">
      <alignment vertical="center"/>
    </xf>
    <xf numFmtId="0" fontId="21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/>
    <xf numFmtId="0" fontId="31" fillId="0" borderId="0" applyNumberFormat="0" applyFill="0" applyBorder="0" applyAlignment="0" applyProtection="0"/>
    <xf numFmtId="3" fontId="32" fillId="0" borderId="0" applyFont="0" applyFill="0" applyBorder="0" applyAlignment="0" applyProtection="0">
      <alignment vertical="center"/>
    </xf>
    <xf numFmtId="184" fontId="20" fillId="0" borderId="0" applyFont="0" applyFill="0" applyBorder="0" applyAlignment="0" applyProtection="0"/>
    <xf numFmtId="185" fontId="20" fillId="0" borderId="0" applyFont="0" applyFill="0" applyBorder="0" applyAlignment="0" applyProtection="0"/>
    <xf numFmtId="186" fontId="20" fillId="0" borderId="9" applyFont="0" applyFill="0" applyBorder="0" applyAlignment="0" applyProtection="0">
      <alignment vertical="center"/>
    </xf>
    <xf numFmtId="187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8" fontId="20" fillId="0" borderId="0" applyFont="0" applyFill="0" applyBorder="0" applyAlignment="0" applyProtection="0"/>
    <xf numFmtId="190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192" fontId="20" fillId="0" borderId="0" applyFont="0" applyFill="0" applyBorder="0" applyAlignment="0" applyProtection="0"/>
    <xf numFmtId="193" fontId="20" fillId="0" borderId="0" applyFont="0" applyFill="0" applyBorder="0" applyAlignment="0" applyProtection="0"/>
    <xf numFmtId="194" fontId="20" fillId="0" borderId="0" applyFont="0" applyFill="0" applyBorder="0" applyAlignment="0" applyProtection="0"/>
    <xf numFmtId="195" fontId="20" fillId="0" borderId="0" applyFont="0" applyFill="0" applyBorder="0" applyAlignment="0" applyProtection="0"/>
    <xf numFmtId="196" fontId="20" fillId="0" borderId="0" applyFont="0" applyFill="0" applyBorder="0" applyAlignment="0" applyProtection="0"/>
    <xf numFmtId="197" fontId="20" fillId="0" borderId="0" applyFont="0" applyFill="0" applyBorder="0" applyAlignment="0" applyProtection="0"/>
    <xf numFmtId="198" fontId="2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99" fontId="20" fillId="0" borderId="0" applyFont="0" applyFill="0" applyBorder="0" applyAlignment="0" applyProtection="0"/>
    <xf numFmtId="200" fontId="20" fillId="0" borderId="9" applyFont="0" applyFill="0" applyBorder="0" applyAlignment="0" applyProtection="0">
      <alignment vertical="center"/>
    </xf>
    <xf numFmtId="201" fontId="20" fillId="0" borderId="0" applyFont="0" applyFill="0" applyBorder="0" applyAlignment="0" applyProtection="0"/>
    <xf numFmtId="202" fontId="20" fillId="0" borderId="0" applyFont="0" applyFill="0" applyBorder="0" applyAlignment="0" applyProtection="0"/>
    <xf numFmtId="203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205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7" fontId="20" fillId="0" borderId="0" applyFont="0" applyFill="0" applyBorder="0" applyAlignment="0" applyProtection="0"/>
    <xf numFmtId="208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21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211" fontId="12" fillId="9" borderId="0" applyFont="0" applyFill="0" applyBorder="0" applyAlignment="0" applyProtection="0">
      <alignment horizontal="center"/>
    </xf>
    <xf numFmtId="0" fontId="12" fillId="0" borderId="0"/>
    <xf numFmtId="41" fontId="12" fillId="0" borderId="0" applyFon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>
      <alignment horizontal="center" vertical="top"/>
    </xf>
    <xf numFmtId="0" fontId="12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/>
    <xf numFmtId="0" fontId="24" fillId="1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212" fontId="20" fillId="0" borderId="0" applyFont="0" applyFill="0" applyBorder="0" applyAlignment="0" applyProtection="0"/>
    <xf numFmtId="213" fontId="39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214" fontId="20" fillId="0" borderId="0" applyFont="0" applyFill="0" applyBorder="0" applyAlignment="0" applyProtection="0"/>
    <xf numFmtId="211" fontId="39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9" fillId="0" borderId="16" applyNumberFormat="0" applyFill="0" applyAlignment="0" applyProtection="0"/>
    <xf numFmtId="215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177" fontId="12" fillId="0" borderId="0" applyFont="0" applyFill="0" applyBorder="0" applyAlignment="0" applyProtection="0"/>
    <xf numFmtId="182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2" fillId="0" borderId="0"/>
    <xf numFmtId="0" fontId="41" fillId="0" borderId="0"/>
    <xf numFmtId="0" fontId="4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38" fontId="27" fillId="21" borderId="17">
      <alignment horizontal="right"/>
    </xf>
    <xf numFmtId="0" fontId="43" fillId="0" borderId="0"/>
    <xf numFmtId="4" fontId="44" fillId="0" borderId="0">
      <protection locked="0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16" fontId="12" fillId="0" borderId="0" applyFont="0" applyFill="0" applyBorder="0" applyAlignment="0">
      <alignment horizontal="center" wrapText="1"/>
    </xf>
    <xf numFmtId="0" fontId="20" fillId="0" borderId="0"/>
    <xf numFmtId="217" fontId="37" fillId="0" borderId="0"/>
    <xf numFmtId="0" fontId="45" fillId="0" borderId="0" applyFont="0" applyFill="0" applyBorder="0" applyAlignment="0" applyProtection="0"/>
    <xf numFmtId="218" fontId="46" fillId="0" borderId="0">
      <alignment horizontal="right"/>
    </xf>
    <xf numFmtId="0" fontId="36" fillId="0" borderId="0" applyFont="0" applyFill="0" applyBorder="0" applyAlignment="0" applyProtection="0"/>
    <xf numFmtId="219" fontId="34" fillId="0" borderId="0">
      <protection locked="0"/>
    </xf>
    <xf numFmtId="0" fontId="34" fillId="0" borderId="0" applyFont="0" applyFill="0" applyBorder="0" applyAlignment="0" applyProtection="0"/>
    <xf numFmtId="220" fontId="12" fillId="0" borderId="0" applyFont="0" applyFill="0" applyBorder="0" applyAlignment="0">
      <alignment horizontal="center" wrapText="1"/>
    </xf>
    <xf numFmtId="0" fontId="20" fillId="0" borderId="0"/>
    <xf numFmtId="0" fontId="34" fillId="0" borderId="0"/>
    <xf numFmtId="0" fontId="47" fillId="0" borderId="18">
      <alignment horizontal="center" vertical="center"/>
    </xf>
    <xf numFmtId="38" fontId="25" fillId="22" borderId="17">
      <protection locked="0"/>
    </xf>
    <xf numFmtId="15" fontId="46" fillId="0" borderId="0">
      <alignment horizontal="left"/>
    </xf>
    <xf numFmtId="2" fontId="27" fillId="23" borderId="0">
      <alignment horizontal="left"/>
      <protection hidden="1"/>
    </xf>
    <xf numFmtId="0" fontId="20" fillId="0" borderId="0"/>
    <xf numFmtId="0" fontId="44" fillId="0" borderId="0">
      <protection locked="0"/>
    </xf>
    <xf numFmtId="0" fontId="48" fillId="0" borderId="0">
      <protection locked="0"/>
    </xf>
    <xf numFmtId="0" fontId="44" fillId="0" borderId="0">
      <protection locked="0"/>
    </xf>
    <xf numFmtId="0" fontId="49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221" fontId="34" fillId="0" borderId="0">
      <protection locked="0"/>
    </xf>
    <xf numFmtId="38" fontId="19" fillId="24" borderId="0" applyNumberFormat="0" applyBorder="0" applyAlignment="0" applyProtection="0"/>
    <xf numFmtId="0" fontId="50" fillId="0" borderId="0">
      <alignment horizontal="left"/>
    </xf>
    <xf numFmtId="0" fontId="15" fillId="0" borderId="19" applyNumberFormat="0" applyAlignment="0" applyProtection="0">
      <alignment horizontal="left" vertical="center"/>
    </xf>
    <xf numFmtId="0" fontId="15" fillId="0" borderId="15">
      <alignment horizontal="left" vertical="center"/>
    </xf>
    <xf numFmtId="191" fontId="34" fillId="0" borderId="0">
      <protection locked="0"/>
    </xf>
    <xf numFmtId="191" fontId="34" fillId="0" borderId="0">
      <protection locked="0"/>
    </xf>
    <xf numFmtId="222" fontId="51" fillId="0" borderId="0" applyBorder="0" applyAlignment="0"/>
    <xf numFmtId="180" fontId="37" fillId="0" borderId="0" applyAlignment="0">
      <protection locked="0"/>
    </xf>
    <xf numFmtId="223" fontId="52" fillId="0" borderId="0"/>
    <xf numFmtId="224" fontId="52" fillId="0" borderId="0"/>
    <xf numFmtId="225" fontId="52" fillId="0" borderId="0"/>
    <xf numFmtId="10" fontId="19" fillId="24" borderId="9" applyNumberFormat="0" applyBorder="0" applyAlignment="0" applyProtection="0"/>
    <xf numFmtId="37" fontId="53" fillId="25" borderId="0" applyFont="0" applyFill="0" applyBorder="0" applyAlignment="0">
      <alignment horizontal="center" vertical="center"/>
    </xf>
    <xf numFmtId="218" fontId="46" fillId="0" borderId="6" applyNumberFormat="0" applyAlignment="0"/>
    <xf numFmtId="0" fontId="54" fillId="0" borderId="14"/>
    <xf numFmtId="226" fontId="34" fillId="0" borderId="0" applyFont="0" applyFill="0" applyBorder="0" applyAlignment="0" applyProtection="0"/>
    <xf numFmtId="227" fontId="34" fillId="0" borderId="0" applyFont="0" applyFill="0" applyBorder="0" applyAlignment="0" applyProtection="0"/>
    <xf numFmtId="37" fontId="12" fillId="0" borderId="0"/>
    <xf numFmtId="37" fontId="55" fillId="0" borderId="0"/>
    <xf numFmtId="228" fontId="2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223" fontId="57" fillId="0" borderId="0"/>
    <xf numFmtId="224" fontId="57" fillId="0" borderId="0"/>
    <xf numFmtId="225" fontId="57" fillId="0" borderId="0"/>
    <xf numFmtId="229" fontId="57" fillId="0" borderId="0">
      <alignment horizontal="right"/>
    </xf>
    <xf numFmtId="0" fontId="22" fillId="0" borderId="12"/>
    <xf numFmtId="0" fontId="12" fillId="0" borderId="0" applyNumberFormat="0"/>
    <xf numFmtId="180" fontId="58" fillId="0" borderId="0" applyFill="0" applyBorder="0" applyProtection="0">
      <alignment vertical="top"/>
    </xf>
    <xf numFmtId="230" fontId="34" fillId="0" borderId="0">
      <protection locked="0"/>
    </xf>
    <xf numFmtId="10" fontId="12" fillId="0" borderId="0" applyFont="0" applyFill="0" applyBorder="0" applyAlignment="0" applyProtection="0"/>
    <xf numFmtId="41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26" fillId="26" borderId="0">
      <alignment horizontal="right"/>
    </xf>
    <xf numFmtId="0" fontId="54" fillId="0" borderId="0"/>
    <xf numFmtId="0" fontId="60" fillId="0" borderId="7" applyBorder="0">
      <alignment horizontal="center"/>
    </xf>
    <xf numFmtId="218" fontId="46" fillId="0" borderId="0" applyNumberFormat="0" applyAlignment="0"/>
    <xf numFmtId="231" fontId="18" fillId="27" borderId="0"/>
    <xf numFmtId="191" fontId="34" fillId="0" borderId="20">
      <protection locked="0"/>
    </xf>
    <xf numFmtId="183" fontId="19" fillId="28" borderId="17">
      <alignment horizontal="right"/>
    </xf>
    <xf numFmtId="183" fontId="13" fillId="28" borderId="17"/>
    <xf numFmtId="232" fontId="61" fillId="0" borderId="0"/>
    <xf numFmtId="0" fontId="62" fillId="28" borderId="9" applyFont="0" applyFill="0" applyBorder="0" applyAlignment="0" applyProtection="0">
      <alignment horizontal="center"/>
      <protection locked="0"/>
    </xf>
    <xf numFmtId="0" fontId="28" fillId="20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3" fillId="33" borderId="21" applyNumberFormat="0" applyAlignment="0" applyProtection="0">
      <alignment vertical="center"/>
    </xf>
    <xf numFmtId="233" fontId="34" fillId="0" borderId="0">
      <protection locked="0"/>
    </xf>
    <xf numFmtId="0" fontId="33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64" fillId="11" borderId="0" applyNumberFormat="0" applyBorder="0" applyAlignment="0" applyProtection="0">
      <alignment vertical="center"/>
    </xf>
    <xf numFmtId="0" fontId="44" fillId="0" borderId="0">
      <protection locked="0"/>
    </xf>
    <xf numFmtId="0" fontId="44" fillId="0" borderId="0"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22" fillId="14" borderId="22" applyNumberFormat="0" applyFont="0" applyAlignment="0" applyProtection="0">
      <alignment vertical="center"/>
    </xf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9" fillId="0" borderId="0"/>
    <xf numFmtId="234" fontId="20" fillId="34" borderId="9" applyNumberFormat="0">
      <alignment vertical="center"/>
    </xf>
    <xf numFmtId="234" fontId="20" fillId="0" borderId="9">
      <alignment vertical="center"/>
    </xf>
    <xf numFmtId="0" fontId="70" fillId="0" borderId="0" applyNumberFormat="0" applyFill="0" applyBorder="0" applyAlignment="0" applyProtection="0">
      <alignment vertical="center"/>
    </xf>
    <xf numFmtId="0" fontId="18" fillId="35" borderId="23" applyNumberFormat="0" applyAlignment="0" applyProtection="0">
      <alignment vertical="center"/>
    </xf>
    <xf numFmtId="235" fontId="71" fillId="0" borderId="0">
      <alignment vertical="center"/>
    </xf>
    <xf numFmtId="0" fontId="7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12" fillId="0" borderId="0"/>
    <xf numFmtId="0" fontId="12" fillId="0" borderId="0" applyNumberFormat="0" applyFill="0" applyBorder="0" applyAlignment="0" applyProtection="0"/>
    <xf numFmtId="0" fontId="37" fillId="0" borderId="0"/>
    <xf numFmtId="0" fontId="37" fillId="0" borderId="0"/>
    <xf numFmtId="0" fontId="72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236" fontId="20" fillId="0" borderId="0" applyFont="0" applyFill="0" applyBorder="0" applyAlignment="0" applyProtection="0"/>
    <xf numFmtId="0" fontId="73" fillId="12" borderId="21" applyNumberFormat="0" applyAlignment="0" applyProtection="0">
      <alignment vertical="center"/>
    </xf>
    <xf numFmtId="4" fontId="74" fillId="0" borderId="0" applyFont="0" applyFill="0" applyBorder="0" applyAlignment="0" applyProtection="0"/>
    <xf numFmtId="4" fontId="44" fillId="0" borderId="0">
      <protection locked="0"/>
    </xf>
    <xf numFmtId="3" fontId="74" fillId="0" borderId="0" applyFont="0" applyFill="0" applyBorder="0" applyAlignment="0" applyProtection="0"/>
    <xf numFmtId="0" fontId="33" fillId="0" borderId="0">
      <protection locked="0"/>
    </xf>
    <xf numFmtId="0" fontId="75" fillId="0" borderId="26" applyNumberFormat="0" applyFill="0" applyAlignment="0" applyProtection="0">
      <alignment vertical="center"/>
    </xf>
    <xf numFmtId="0" fontId="76" fillId="0" borderId="27" applyNumberFormat="0" applyFill="0" applyAlignment="0" applyProtection="0">
      <alignment vertical="center"/>
    </xf>
    <xf numFmtId="0" fontId="77" fillId="0" borderId="2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34" fillId="0" borderId="0"/>
    <xf numFmtId="0" fontId="12" fillId="0" borderId="0"/>
    <xf numFmtId="0" fontId="23" fillId="33" borderId="21" applyNumberFormat="0" applyAlignment="0" applyProtection="0">
      <alignment vertical="center"/>
    </xf>
    <xf numFmtId="0" fontId="34" fillId="0" borderId="0" applyFont="0" applyFill="0" applyBorder="0" applyAlignment="0" applyProtection="0"/>
    <xf numFmtId="237" fontId="80" fillId="0" borderId="0" applyFont="0" applyFill="0" applyBorder="0" applyAlignment="0" applyProtection="0"/>
    <xf numFmtId="0" fontId="3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33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/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>
      <alignment vertical="center"/>
    </xf>
    <xf numFmtId="0" fontId="24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2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2" fillId="0" borderId="0" applyNumberFormat="0" applyFill="0" applyBorder="0" applyAlignment="0" applyProtection="0">
      <alignment vertical="center"/>
    </xf>
    <xf numFmtId="0" fontId="44" fillId="0" borderId="29">
      <protection locked="0"/>
    </xf>
    <xf numFmtId="182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38" fontId="74" fillId="0" borderId="0" applyFont="0" applyFill="0" applyBorder="0" applyAlignment="0" applyProtection="0"/>
    <xf numFmtId="0" fontId="33" fillId="0" borderId="0">
      <protection locked="0"/>
    </xf>
    <xf numFmtId="238" fontId="74" fillId="0" borderId="0" applyFont="0" applyFill="0" applyBorder="0" applyAlignment="0" applyProtection="0"/>
    <xf numFmtId="0" fontId="33" fillId="0" borderId="0">
      <protection locked="0"/>
    </xf>
  </cellStyleXfs>
  <cellXfs count="111">
    <xf numFmtId="0" fontId="0" fillId="0" borderId="0" xfId="0">
      <alignment vertical="center"/>
    </xf>
    <xf numFmtId="41" fontId="4" fillId="0" borderId="7" xfId="1" applyFont="1" applyBorder="1">
      <alignment vertical="center"/>
    </xf>
    <xf numFmtId="41" fontId="4" fillId="0" borderId="3" xfId="1" applyFont="1" applyBorder="1">
      <alignment vertical="center"/>
    </xf>
    <xf numFmtId="180" fontId="4" fillId="0" borderId="7" xfId="2" applyNumberFormat="1" applyFont="1" applyBorder="1">
      <alignment vertical="center"/>
    </xf>
    <xf numFmtId="41" fontId="4" fillId="0" borderId="12" xfId="1" applyFont="1" applyBorder="1">
      <alignment vertical="center"/>
    </xf>
    <xf numFmtId="41" fontId="4" fillId="0" borderId="7" xfId="1" applyFont="1" applyFill="1" applyBorder="1">
      <alignment vertical="center"/>
    </xf>
    <xf numFmtId="41" fontId="4" fillId="0" borderId="0" xfId="1" applyFont="1" applyFill="1" applyBorder="1">
      <alignment vertical="center"/>
    </xf>
    <xf numFmtId="180" fontId="4" fillId="0" borderId="7" xfId="2" applyNumberFormat="1" applyFont="1" applyFill="1" applyBorder="1">
      <alignment vertical="center"/>
    </xf>
    <xf numFmtId="41" fontId="4" fillId="0" borderId="12" xfId="1" applyFont="1" applyFill="1" applyBorder="1">
      <alignment vertical="center"/>
    </xf>
    <xf numFmtId="41" fontId="4" fillId="0" borderId="5" xfId="1" applyFont="1" applyFill="1" applyBorder="1">
      <alignment vertical="center"/>
    </xf>
    <xf numFmtId="41" fontId="4" fillId="0" borderId="6" xfId="1" applyFont="1" applyFill="1" applyBorder="1">
      <alignment vertical="center"/>
    </xf>
    <xf numFmtId="180" fontId="4" fillId="0" borderId="5" xfId="2" applyNumberFormat="1" applyFont="1" applyFill="1" applyBorder="1">
      <alignment vertical="center"/>
    </xf>
    <xf numFmtId="41" fontId="4" fillId="0" borderId="11" xfId="1" applyFont="1" applyFill="1" applyBorder="1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41" fontId="7" fillId="0" borderId="0" xfId="1" applyFont="1" applyAlignment="1">
      <alignment horizontal="right" vertical="center"/>
    </xf>
    <xf numFmtId="0" fontId="0" fillId="0" borderId="0" xfId="0">
      <alignment vertical="center"/>
    </xf>
    <xf numFmtId="0" fontId="2" fillId="7" borderId="0" xfId="25" applyFill="1" applyAlignment="1"/>
    <xf numFmtId="0" fontId="0" fillId="0" borderId="0" xfId="0">
      <alignment vertical="center"/>
    </xf>
    <xf numFmtId="0" fontId="17" fillId="8" borderId="0" xfId="0" applyFont="1" applyFill="1">
      <alignment vertical="center"/>
    </xf>
    <xf numFmtId="0" fontId="83" fillId="8" borderId="5" xfId="0" applyFont="1" applyFill="1" applyBorder="1" applyAlignment="1">
      <alignment horizontal="center" vertical="center"/>
    </xf>
    <xf numFmtId="0" fontId="83" fillId="8" borderId="6" xfId="0" applyFont="1" applyFill="1" applyBorder="1" applyAlignment="1">
      <alignment horizontal="center" vertical="center"/>
    </xf>
    <xf numFmtId="41" fontId="83" fillId="8" borderId="6" xfId="1" applyFont="1" applyFill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17" fontId="5" fillId="0" borderId="7" xfId="0" applyNumberFormat="1" applyFont="1" applyFill="1" applyBorder="1" applyAlignment="1">
      <alignment horizontal="center" vertical="center"/>
    </xf>
    <xf numFmtId="17" fontId="5" fillId="0" borderId="5" xfId="0" applyNumberFormat="1" applyFont="1" applyFill="1" applyBorder="1" applyAlignment="1">
      <alignment horizontal="center" vertical="center"/>
    </xf>
    <xf numFmtId="0" fontId="3" fillId="36" borderId="0" xfId="0" applyFont="1" applyFill="1">
      <alignment vertical="center"/>
    </xf>
    <xf numFmtId="17" fontId="5" fillId="0" borderId="2" xfId="0" applyNumberFormat="1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180" fontId="4" fillId="0" borderId="3" xfId="2" applyNumberFormat="1" applyFont="1" applyBorder="1">
      <alignment vertical="center"/>
    </xf>
    <xf numFmtId="180" fontId="4" fillId="0" borderId="0" xfId="2" applyNumberFormat="1" applyFont="1" applyFill="1" applyBorder="1">
      <alignment vertical="center"/>
    </xf>
    <xf numFmtId="180" fontId="4" fillId="0" borderId="6" xfId="2" applyNumberFormat="1" applyFont="1" applyFill="1" applyBorder="1">
      <alignment vertical="center"/>
    </xf>
    <xf numFmtId="0" fontId="89" fillId="0" borderId="0" xfId="0" applyFont="1">
      <alignment vertical="center"/>
    </xf>
    <xf numFmtId="0" fontId="83" fillId="8" borderId="2" xfId="0" applyFont="1" applyFill="1" applyBorder="1" applyAlignment="1">
      <alignment horizontal="centerContinuous" vertical="center"/>
    </xf>
    <xf numFmtId="0" fontId="83" fillId="8" borderId="3" xfId="0" applyFont="1" applyFill="1" applyBorder="1" applyAlignment="1">
      <alignment horizontal="centerContinuous" vertical="center"/>
    </xf>
    <xf numFmtId="0" fontId="83" fillId="8" borderId="1" xfId="0" applyFont="1" applyFill="1" applyBorder="1" applyAlignment="1">
      <alignment horizontal="centerContinuous" vertical="center"/>
    </xf>
    <xf numFmtId="0" fontId="92" fillId="8" borderId="6" xfId="0" applyFont="1" applyFill="1" applyBorder="1" applyAlignment="1">
      <alignment horizontal="center" vertical="center"/>
    </xf>
    <xf numFmtId="41" fontId="4" fillId="2" borderId="0" xfId="0" applyNumberFormat="1" applyFont="1" applyFill="1" applyBorder="1">
      <alignment vertical="center"/>
    </xf>
    <xf numFmtId="41" fontId="4" fillId="2" borderId="0" xfId="1" applyFont="1" applyFill="1" applyBorder="1">
      <alignment vertical="center"/>
    </xf>
    <xf numFmtId="41" fontId="4" fillId="2" borderId="6" xfId="1" applyFont="1" applyFill="1" applyBorder="1">
      <alignment vertical="center"/>
    </xf>
    <xf numFmtId="180" fontId="4" fillId="2" borderId="1" xfId="2" applyNumberFormat="1" applyFont="1" applyFill="1" applyBorder="1">
      <alignment vertical="center"/>
    </xf>
    <xf numFmtId="180" fontId="4" fillId="2" borderId="8" xfId="2" applyNumberFormat="1" applyFont="1" applyFill="1" applyBorder="1">
      <alignment vertical="center"/>
    </xf>
    <xf numFmtId="180" fontId="4" fillId="2" borderId="4" xfId="2" applyNumberFormat="1" applyFont="1" applyFill="1" applyBorder="1">
      <alignment vertical="center"/>
    </xf>
    <xf numFmtId="41" fontId="4" fillId="2" borderId="12" xfId="1" applyFont="1" applyFill="1" applyBorder="1">
      <alignment vertical="center"/>
    </xf>
    <xf numFmtId="41" fontId="4" fillId="2" borderId="11" xfId="1" applyFont="1" applyFill="1" applyBorder="1">
      <alignment vertical="center"/>
    </xf>
    <xf numFmtId="17" fontId="5" fillId="0" borderId="12" xfId="0" applyNumberFormat="1" applyFont="1" applyFill="1" applyBorder="1" applyAlignment="1">
      <alignment horizontal="center" vertical="center"/>
    </xf>
    <xf numFmtId="180" fontId="4" fillId="0" borderId="2" xfId="1" applyNumberFormat="1" applyFont="1" applyBorder="1" applyAlignment="1">
      <alignment horizontal="right" vertical="center"/>
    </xf>
    <xf numFmtId="41" fontId="4" fillId="0" borderId="3" xfId="1" applyFont="1" applyBorder="1" applyAlignment="1">
      <alignment horizontal="right" vertical="center"/>
    </xf>
    <xf numFmtId="41" fontId="4" fillId="2" borderId="1" xfId="0" applyNumberFormat="1" applyFont="1" applyFill="1" applyBorder="1" applyAlignment="1">
      <alignment horizontal="right" vertical="center"/>
    </xf>
    <xf numFmtId="180" fontId="4" fillId="0" borderId="2" xfId="2" applyNumberFormat="1" applyFont="1" applyBorder="1" applyAlignment="1">
      <alignment horizontal="right" vertical="center"/>
    </xf>
    <xf numFmtId="180" fontId="4" fillId="0" borderId="3" xfId="2" applyNumberFormat="1" applyFont="1" applyBorder="1" applyAlignment="1">
      <alignment horizontal="right" vertical="center"/>
    </xf>
    <xf numFmtId="180" fontId="4" fillId="2" borderId="1" xfId="2" applyNumberFormat="1" applyFont="1" applyFill="1" applyBorder="1" applyAlignment="1">
      <alignment horizontal="right" vertical="center"/>
    </xf>
    <xf numFmtId="41" fontId="4" fillId="0" borderId="2" xfId="1" applyFont="1" applyBorder="1" applyAlignment="1">
      <alignment horizontal="right" vertical="center"/>
    </xf>
    <xf numFmtId="41" fontId="4" fillId="0" borderId="10" xfId="1" applyFont="1" applyBorder="1" applyAlignment="1">
      <alignment horizontal="right" vertical="center"/>
    </xf>
    <xf numFmtId="41" fontId="4" fillId="2" borderId="10" xfId="1" applyFont="1" applyFill="1" applyBorder="1" applyAlignment="1">
      <alignment horizontal="right" vertical="center"/>
    </xf>
    <xf numFmtId="180" fontId="4" fillId="0" borderId="7" xfId="1" applyNumberFormat="1" applyFont="1" applyBorder="1" applyAlignment="1">
      <alignment horizontal="right" vertical="center"/>
    </xf>
    <xf numFmtId="41" fontId="4" fillId="0" borderId="0" xfId="1" applyFont="1" applyFill="1" applyBorder="1" applyAlignment="1">
      <alignment horizontal="right" vertical="center"/>
    </xf>
    <xf numFmtId="41" fontId="4" fillId="2" borderId="8" xfId="1" applyFont="1" applyFill="1" applyBorder="1" applyAlignment="1">
      <alignment horizontal="right" vertical="center"/>
    </xf>
    <xf numFmtId="180" fontId="4" fillId="0" borderId="7" xfId="2" applyNumberFormat="1" applyFont="1" applyFill="1" applyBorder="1" applyAlignment="1">
      <alignment horizontal="right" vertical="center"/>
    </xf>
    <xf numFmtId="180" fontId="4" fillId="0" borderId="0" xfId="2" applyNumberFormat="1" applyFont="1" applyFill="1" applyBorder="1" applyAlignment="1">
      <alignment horizontal="right" vertical="center"/>
    </xf>
    <xf numFmtId="180" fontId="4" fillId="2" borderId="8" xfId="2" applyNumberFormat="1" applyFont="1" applyFill="1" applyBorder="1" applyAlignment="1">
      <alignment horizontal="right" vertical="center"/>
    </xf>
    <xf numFmtId="41" fontId="4" fillId="0" borderId="7" xfId="1" applyFont="1" applyFill="1" applyBorder="1" applyAlignment="1">
      <alignment horizontal="right" vertical="center"/>
    </xf>
    <xf numFmtId="41" fontId="4" fillId="0" borderId="12" xfId="1" applyFont="1" applyFill="1" applyBorder="1" applyAlignment="1">
      <alignment horizontal="right" vertical="center"/>
    </xf>
    <xf numFmtId="41" fontId="4" fillId="2" borderId="12" xfId="1" applyFont="1" applyFill="1" applyBorder="1" applyAlignment="1">
      <alignment horizontal="right" vertical="center"/>
    </xf>
    <xf numFmtId="180" fontId="4" fillId="0" borderId="5" xfId="1" applyNumberFormat="1" applyFont="1" applyBorder="1" applyAlignment="1">
      <alignment horizontal="right" vertical="center"/>
    </xf>
    <xf numFmtId="41" fontId="4" fillId="0" borderId="6" xfId="1" applyFont="1" applyFill="1" applyBorder="1" applyAlignment="1">
      <alignment horizontal="right" vertical="center"/>
    </xf>
    <xf numFmtId="41" fontId="4" fillId="2" borderId="4" xfId="1" applyFont="1" applyFill="1" applyBorder="1" applyAlignment="1">
      <alignment horizontal="right" vertical="center"/>
    </xf>
    <xf numFmtId="180" fontId="4" fillId="0" borderId="5" xfId="2" applyNumberFormat="1" applyFont="1" applyFill="1" applyBorder="1" applyAlignment="1">
      <alignment horizontal="right" vertical="center"/>
    </xf>
    <xf numFmtId="180" fontId="4" fillId="0" borderId="6" xfId="2" applyNumberFormat="1" applyFont="1" applyFill="1" applyBorder="1" applyAlignment="1">
      <alignment horizontal="right" vertical="center"/>
    </xf>
    <xf numFmtId="180" fontId="4" fillId="2" borderId="4" xfId="2" applyNumberFormat="1" applyFont="1" applyFill="1" applyBorder="1" applyAlignment="1">
      <alignment horizontal="right" vertical="center"/>
    </xf>
    <xf numFmtId="41" fontId="4" fillId="0" borderId="5" xfId="1" applyFont="1" applyFill="1" applyBorder="1" applyAlignment="1">
      <alignment horizontal="right" vertical="center"/>
    </xf>
    <xf numFmtId="41" fontId="4" fillId="0" borderId="11" xfId="1" applyFont="1" applyFill="1" applyBorder="1" applyAlignment="1">
      <alignment horizontal="right" vertical="center"/>
    </xf>
    <xf numFmtId="41" fontId="4" fillId="2" borderId="11" xfId="1" applyFont="1" applyFill="1" applyBorder="1" applyAlignment="1">
      <alignment horizontal="right" vertical="center"/>
    </xf>
    <xf numFmtId="41" fontId="4" fillId="0" borderId="3" xfId="1" applyFont="1" applyFill="1" applyBorder="1" applyAlignment="1">
      <alignment horizontal="right" vertical="center"/>
    </xf>
    <xf numFmtId="41" fontId="4" fillId="2" borderId="1" xfId="1" applyFont="1" applyFill="1" applyBorder="1" applyAlignment="1">
      <alignment horizontal="right" vertical="center"/>
    </xf>
    <xf numFmtId="180" fontId="4" fillId="0" borderId="3" xfId="1" applyNumberFormat="1" applyFont="1" applyBorder="1" applyAlignment="1">
      <alignment horizontal="right" vertical="center"/>
    </xf>
    <xf numFmtId="41" fontId="4" fillId="2" borderId="3" xfId="1" applyFont="1" applyFill="1" applyBorder="1" applyAlignment="1">
      <alignment horizontal="right" vertical="center"/>
    </xf>
    <xf numFmtId="41" fontId="4" fillId="0" borderId="10" xfId="1" applyFont="1" applyFill="1" applyBorder="1" applyAlignment="1">
      <alignment horizontal="right" vertical="center"/>
    </xf>
    <xf numFmtId="180" fontId="4" fillId="0" borderId="0" xfId="1" applyNumberFormat="1" applyFont="1" applyBorder="1" applyAlignment="1">
      <alignment horizontal="right" vertical="center"/>
    </xf>
    <xf numFmtId="41" fontId="4" fillId="2" borderId="0" xfId="1" applyFont="1" applyFill="1" applyBorder="1" applyAlignment="1">
      <alignment horizontal="right" vertical="center"/>
    </xf>
    <xf numFmtId="180" fontId="4" fillId="2" borderId="8" xfId="1" applyNumberFormat="1" applyFont="1" applyFill="1" applyBorder="1" applyAlignment="1">
      <alignment horizontal="right" vertical="center"/>
    </xf>
    <xf numFmtId="180" fontId="4" fillId="2" borderId="12" xfId="1" applyNumberFormat="1" applyFont="1" applyFill="1" applyBorder="1" applyAlignment="1">
      <alignment horizontal="right" vertical="center"/>
    </xf>
    <xf numFmtId="180" fontId="4" fillId="0" borderId="6" xfId="1" applyNumberFormat="1" applyFont="1" applyBorder="1" applyAlignment="1">
      <alignment horizontal="right" vertical="center"/>
    </xf>
    <xf numFmtId="180" fontId="4" fillId="2" borderId="4" xfId="1" applyNumberFormat="1" applyFont="1" applyFill="1" applyBorder="1" applyAlignment="1">
      <alignment horizontal="right" vertical="center"/>
    </xf>
    <xf numFmtId="180" fontId="4" fillId="2" borderId="11" xfId="1" applyNumberFormat="1" applyFont="1" applyFill="1" applyBorder="1" applyAlignment="1">
      <alignment horizontal="right" vertical="center"/>
    </xf>
    <xf numFmtId="41" fontId="4" fillId="0" borderId="2" xfId="1" applyFont="1" applyFill="1" applyBorder="1">
      <alignment vertical="center"/>
    </xf>
    <xf numFmtId="41" fontId="4" fillId="0" borderId="3" xfId="1" applyFont="1" applyFill="1" applyBorder="1">
      <alignment vertical="center"/>
    </xf>
    <xf numFmtId="41" fontId="4" fillId="2" borderId="3" xfId="1" applyFont="1" applyFill="1" applyBorder="1">
      <alignment vertical="center"/>
    </xf>
    <xf numFmtId="180" fontId="4" fillId="0" borderId="2" xfId="2" applyNumberFormat="1" applyFont="1" applyFill="1" applyBorder="1">
      <alignment vertical="center"/>
    </xf>
    <xf numFmtId="180" fontId="4" fillId="0" borderId="3" xfId="2" applyNumberFormat="1" applyFont="1" applyFill="1" applyBorder="1">
      <alignment vertical="center"/>
    </xf>
    <xf numFmtId="41" fontId="4" fillId="0" borderId="10" xfId="1" applyFont="1" applyFill="1" applyBorder="1">
      <alignment vertical="center"/>
    </xf>
    <xf numFmtId="41" fontId="4" fillId="2" borderId="10" xfId="1" applyFont="1" applyFill="1" applyBorder="1">
      <alignment vertical="center"/>
    </xf>
    <xf numFmtId="180" fontId="4" fillId="2" borderId="1" xfId="1" applyNumberFormat="1" applyFont="1" applyFill="1" applyBorder="1" applyAlignment="1">
      <alignment horizontal="right" vertical="center"/>
    </xf>
    <xf numFmtId="180" fontId="4" fillId="2" borderId="10" xfId="1" applyNumberFormat="1" applyFont="1" applyFill="1" applyBorder="1" applyAlignment="1">
      <alignment horizontal="right" vertical="center"/>
    </xf>
    <xf numFmtId="17" fontId="5" fillId="0" borderId="10" xfId="0" applyNumberFormat="1" applyFont="1" applyFill="1" applyBorder="1" applyAlignment="1">
      <alignment horizontal="center" vertical="center"/>
    </xf>
    <xf numFmtId="17" fontId="5" fillId="0" borderId="11" xfId="0" applyNumberFormat="1" applyFont="1" applyFill="1" applyBorder="1" applyAlignment="1">
      <alignment horizontal="center" vertical="center"/>
    </xf>
    <xf numFmtId="17" fontId="0" fillId="0" borderId="0" xfId="0" applyNumberFormat="1">
      <alignment vertical="center"/>
    </xf>
    <xf numFmtId="41" fontId="0" fillId="0" borderId="0" xfId="0" applyNumberFormat="1">
      <alignment vertical="center"/>
    </xf>
    <xf numFmtId="9" fontId="0" fillId="0" borderId="0" xfId="2" applyFont="1">
      <alignment vertical="center"/>
    </xf>
    <xf numFmtId="180" fontId="0" fillId="0" borderId="0" xfId="2" applyNumberFormat="1" applyFont="1">
      <alignment vertical="center"/>
    </xf>
    <xf numFmtId="240" fontId="0" fillId="0" borderId="0" xfId="0" applyNumberFormat="1">
      <alignment vertical="center"/>
    </xf>
    <xf numFmtId="0" fontId="0" fillId="36" borderId="0" xfId="0" applyFill="1">
      <alignment vertical="center"/>
    </xf>
    <xf numFmtId="239" fontId="0" fillId="36" borderId="0" xfId="0" applyNumberFormat="1" applyFill="1">
      <alignment vertical="center"/>
    </xf>
    <xf numFmtId="0" fontId="84" fillId="0" borderId="14" xfId="0" applyFont="1" applyBorder="1" applyAlignment="1">
      <alignment horizontal="left" vertical="center"/>
    </xf>
    <xf numFmtId="0" fontId="88" fillId="2" borderId="13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/>
    </xf>
    <xf numFmtId="41" fontId="86" fillId="8" borderId="10" xfId="1" applyFont="1" applyFill="1" applyBorder="1" applyAlignment="1">
      <alignment horizontal="center" vertical="center" wrapText="1"/>
    </xf>
    <xf numFmtId="41" fontId="83" fillId="8" borderId="11" xfId="1" applyFont="1" applyFill="1" applyBorder="1" applyAlignment="1">
      <alignment horizontal="center" vertical="center" wrapText="1"/>
    </xf>
    <xf numFmtId="0" fontId="83" fillId="8" borderId="10" xfId="0" applyFont="1" applyFill="1" applyBorder="1" applyAlignment="1">
      <alignment horizontal="center" vertical="center"/>
    </xf>
    <xf numFmtId="0" fontId="83" fillId="8" borderId="11" xfId="0" applyFont="1" applyFill="1" applyBorder="1" applyAlignment="1">
      <alignment horizontal="center" vertical="center"/>
    </xf>
    <xf numFmtId="43" fontId="3" fillId="0" borderId="0" xfId="0" applyNumberFormat="1" applyFont="1">
      <alignment vertical="center"/>
    </xf>
  </cellXfs>
  <cellStyles count="815">
    <cellStyle name="          _x000d__x000a_386grabber=vga.3gr_x000d__x000a_" xfId="26"/>
    <cellStyle name="          _x000d__x000a_shell=progman.exe_x000d__x000a_m" xfId="27"/>
    <cellStyle name="_x000a_386grabber=M" xfId="28"/>
    <cellStyle name="_x000a_386grabber=M 2" xfId="29"/>
    <cellStyle name="_x000a_386grabber=M 3" xfId="30"/>
    <cellStyle name="#,##0" xfId="31"/>
    <cellStyle name="#,##0!" xfId="32"/>
    <cellStyle name="#,##0$" xfId="33"/>
    <cellStyle name="#,##0$!" xfId="34"/>
    <cellStyle name="#,##0$$" xfId="35"/>
    <cellStyle name="#,##0$$!" xfId="36"/>
    <cellStyle name="#,##0$$$" xfId="37"/>
    <cellStyle name="#,##0$$$!" xfId="38"/>
    <cellStyle name="#,##0$$$$" xfId="39"/>
    <cellStyle name="#,##0$$$$!" xfId="40"/>
    <cellStyle name="#,##0$$$$$" xfId="41"/>
    <cellStyle name="#,##0$$$$$!" xfId="42"/>
    <cellStyle name="#,##0$$$$$$" xfId="43"/>
    <cellStyle name="#,##0$$$$$$!" xfId="44"/>
    <cellStyle name="#,##0$$$$$$$" xfId="45"/>
    <cellStyle name="#,##0$$$$$$$!" xfId="46"/>
    <cellStyle name="#,##0$$$$$$$$" xfId="47"/>
    <cellStyle name="#,##0$$$$$$_미정리예수금 " xfId="48"/>
    <cellStyle name="#,##0$$$$$_미정리예수금 " xfId="49"/>
    <cellStyle name="#,##0.0$" xfId="50"/>
    <cellStyle name="#,##0.0$!" xfId="51"/>
    <cellStyle name="#,##0.0$$" xfId="52"/>
    <cellStyle name="#,##0.0$$!" xfId="53"/>
    <cellStyle name="#,##0.0$$$" xfId="54"/>
    <cellStyle name="#,##0.0$$$!" xfId="55"/>
    <cellStyle name="#,##0.0$$$$" xfId="56"/>
    <cellStyle name="#,##0.0$$$$!" xfId="57"/>
    <cellStyle name="#,##0.0$$$$$" xfId="58"/>
    <cellStyle name="#,##0.0$$$$$!" xfId="59"/>
    <cellStyle name="#,##0.0$$$$$$" xfId="60"/>
    <cellStyle name="#,##0.0$$$$$$!" xfId="61"/>
    <cellStyle name="#,##0.0$$$$$$_미정리예수금 " xfId="62"/>
    <cellStyle name="#,##0.0$$$$_미정리예수금 " xfId="63"/>
    <cellStyle name="#,##0.0$$_미정리예수금 " xfId="64"/>
    <cellStyle name=".000" xfId="65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66"/>
    <cellStyle name="?? [0]_VERA" xfId="67"/>
    <cellStyle name="??&amp;O?&amp;H?_x0008__x000f__x0007_?_x0007__x0001__x0001_" xfId="68"/>
    <cellStyle name="??&amp;O?&amp;H?_x0008_??_x0007__x0001__x0001_" xfId="69"/>
    <cellStyle name="?????" xfId="70"/>
    <cellStyle name="??_OTC" xfId="71"/>
    <cellStyle name="]_^[꺞_x0008_?" xfId="72"/>
    <cellStyle name="_001300_대신" xfId="73"/>
    <cellStyle name="_040527산업분석(표)" xfId="74"/>
    <cellStyle name="_040614인터파크(TC)_C(20)" xfId="75"/>
    <cellStyle name="_040906하나투어_C(18)" xfId="76"/>
    <cellStyle name="_040908엔터테인먼트(포럼)_TC" xfId="77"/>
    <cellStyle name="_050221우리홈쇼핑_제안서" xfId="78"/>
    <cellStyle name="_051208신세계(11월)_M" xfId="79"/>
    <cellStyle name="_061222_계정비교(변경전후)" xfId="80"/>
    <cellStyle name="_1_0131_최종)전사예산종합_공단,토토계정일치" xfId="81"/>
    <cellStyle name="_1_data yearly" xfId="82"/>
    <cellStyle name="_1_data yearly_1Compfinal test28LGE i" xfId="83"/>
    <cellStyle name="_1_data yearly_comparables analysis 040803" xfId="84"/>
    <cellStyle name="_1_data yearly_comparables analysis 040803_1Compfinal test28LGE i" xfId="85"/>
    <cellStyle name="_1_data yearly_comparables analysis 040803_CompsAll 042803" xfId="86"/>
    <cellStyle name="_1_data yearly_comparables analysis 040803_CompsAll 042803_1Compfinal test28LGE i" xfId="87"/>
    <cellStyle name="_1_data yearly_comparables analysis 040803_CompsAll 042803_Orion (excav@tor)" xfId="88"/>
    <cellStyle name="_1_data yearly_comparables analysis 040803_Orion (excav@tor)" xfId="89"/>
    <cellStyle name="_1_data yearly_Orion (excav@tor)" xfId="90"/>
    <cellStyle name="_1_data071802" xfId="91"/>
    <cellStyle name="_1_data071802_1Compfinal test28LGE i" xfId="92"/>
    <cellStyle name="_1_data071802_comparables analysis 040803" xfId="93"/>
    <cellStyle name="_1_data071802_comparables analysis 040803_1Compfinal test28LGE i" xfId="94"/>
    <cellStyle name="_1_data071802_comparables analysis 040803_CompsAll 042803" xfId="95"/>
    <cellStyle name="_1_data071802_comparables analysis 040803_CompsAll 042803_1Compfinal test28LGE i" xfId="96"/>
    <cellStyle name="_1_data071802_comparables analysis 040803_CompsAll 042803_Orion (excav@tor)" xfId="97"/>
    <cellStyle name="_1_data071802_comparables analysis 040803_Orion (excav@tor)" xfId="98"/>
    <cellStyle name="_1_data071802_Orion (excav@tor)" xfId="99"/>
    <cellStyle name="_1_data2" xfId="100"/>
    <cellStyle name="_1_data2_1Compfinal test28LGE i" xfId="101"/>
    <cellStyle name="_1_data2_comparables analysis 040803" xfId="102"/>
    <cellStyle name="_1_data2_comparables analysis 040803_1Compfinal test28LGE i" xfId="103"/>
    <cellStyle name="_1_data2_comparables analysis 040803_CompsAll 042803" xfId="104"/>
    <cellStyle name="_1_data2_comparables analysis 040803_CompsAll 042803_1Compfinal test28LGE i" xfId="105"/>
    <cellStyle name="_1_data2_comparables analysis 040803_CompsAll 042803_Orion (excav@tor)" xfId="106"/>
    <cellStyle name="_1_data2_comparables analysis 040803_Orion (excav@tor)" xfId="107"/>
    <cellStyle name="_1_data2_Orion (excav@tor)" xfId="108"/>
    <cellStyle name="_1Compfinal" xfId="109"/>
    <cellStyle name="_1Compfinal_1Compfinal test28LGE i" xfId="110"/>
    <cellStyle name="_1Compfinal_Orion (excav@tor)" xfId="111"/>
    <cellStyle name="_1LGE model 4-22-02 4pm" xfId="112"/>
    <cellStyle name="_1LGE model 4-22-02 4pm_1_data yearly" xfId="113"/>
    <cellStyle name="_1LGE model 4-22-02 4pm_1_data yearly_1Compfinal test28LGE i" xfId="114"/>
    <cellStyle name="_1LGE model 4-22-02 4pm_1_data yearly_comparables analysis 040803" xfId="115"/>
    <cellStyle name="_1LGE model 4-22-02 4pm_1_data yearly_comparables analysis 040803_1Compfinal test28LGE i" xfId="116"/>
    <cellStyle name="_1LGE model 4-22-02 4pm_1_data yearly_comparables analysis 040803_CompsAll 042803" xfId="117"/>
    <cellStyle name="_1LGE model 4-22-02 4pm_1_data yearly_comparables analysis 040803_CompsAll 042803_1Compfinal test28LGE i" xfId="118"/>
    <cellStyle name="_1LGE model 4-22-02 4pm_1_data yearly_comparables analysis 040803_CompsAll 042803_Orion (excav@tor)" xfId="119"/>
    <cellStyle name="_1LGE model 4-22-02 4pm_1_data yearly_comparables analysis 040803_Orion (excav@tor)" xfId="120"/>
    <cellStyle name="_1LGE model 4-22-02 4pm_1_data yearly_Orion (excav@tor)" xfId="121"/>
    <cellStyle name="_1LGE model 4-22-02 4pm_1_data2" xfId="122"/>
    <cellStyle name="_1LGE model 4-22-02 4pm_1_data2_1Compfinal test28LGE i" xfId="123"/>
    <cellStyle name="_1LGE model 4-22-02 4pm_1_data2_comparables analysis 040803" xfId="124"/>
    <cellStyle name="_1LGE model 4-22-02 4pm_1_data2_comparables analysis 040803_1Compfinal test28LGE i" xfId="125"/>
    <cellStyle name="_1LGE model 4-22-02 4pm_1_data2_comparables analysis 040803_CompsAll 042803" xfId="126"/>
    <cellStyle name="_1LGE model 4-22-02 4pm_1_data2_comparables analysis 040803_CompsAll 042803_1Compfinal test28LGE i" xfId="127"/>
    <cellStyle name="_1LGE model 4-22-02 4pm_1_data2_comparables analysis 040803_CompsAll 042803_Orion (excav@tor)" xfId="128"/>
    <cellStyle name="_1LGE model 4-22-02 4pm_1_data2_comparables analysis 040803_Orion (excav@tor)" xfId="129"/>
    <cellStyle name="_1LGE model 4-22-02 4pm_1_data2_Orion (excav@tor)" xfId="130"/>
    <cellStyle name="_1LGE model 4-22-02 4pm_1Compfinal test28LGE i" xfId="131"/>
    <cellStyle name="_1LGE model 4-22-02 4pm_comparables analysis 040803" xfId="132"/>
    <cellStyle name="_1LGE model 4-22-02 4pm_comparables analysis 040803_1Compfinal test28LGE i" xfId="133"/>
    <cellStyle name="_1LGE model 4-22-02 4pm_comparables analysis 040803_CompsAll 042803" xfId="134"/>
    <cellStyle name="_1LGE model 4-22-02 4pm_comparables analysis 040803_CompsAll 042803_1Compfinal test28LGE i" xfId="135"/>
    <cellStyle name="_1LGE model 4-22-02 4pm_comparables analysis 040803_CompsAll 042803_Orion (excav@tor)" xfId="136"/>
    <cellStyle name="_1LGE model 4-22-02 4pm_comparables analysis 040803_Orion (excav@tor)" xfId="137"/>
    <cellStyle name="_1LGE model 4-22-02 4pm_Orion (excav@tor)" xfId="138"/>
    <cellStyle name="_1LGE model 4-4-02 2pm" xfId="139"/>
    <cellStyle name="_1LGE model 4-4-02 2pm_1_data yearly" xfId="140"/>
    <cellStyle name="_1LGE model 4-4-02 2pm_1_data yearly_1Compfinal test28LGE i" xfId="141"/>
    <cellStyle name="_1LGE model 4-4-02 2pm_1_data yearly_comparables analysis 040803" xfId="142"/>
    <cellStyle name="_1LGE model 4-4-02 2pm_1_data yearly_comparables analysis 040803_1Compfinal test28LGE i" xfId="143"/>
    <cellStyle name="_1LGE model 4-4-02 2pm_1_data yearly_comparables analysis 040803_CompsAll 042803" xfId="144"/>
    <cellStyle name="_1LGE model 4-4-02 2pm_1_data yearly_comparables analysis 040803_CompsAll 042803_1Compfinal test28LGE i" xfId="145"/>
    <cellStyle name="_1LGE model 4-4-02 2pm_1_data yearly_comparables analysis 040803_CompsAll 042803_Orion (excav@tor)" xfId="146"/>
    <cellStyle name="_1LGE model 4-4-02 2pm_1_data yearly_comparables analysis 040803_Orion (excav@tor)" xfId="147"/>
    <cellStyle name="_1LGE model 4-4-02 2pm_1_data yearly_Orion (excav@tor)" xfId="148"/>
    <cellStyle name="_1LGE model 4-4-02 2pm_1_data2" xfId="149"/>
    <cellStyle name="_1LGE model 4-4-02 2pm_1_data2_1Compfinal test28LGE i" xfId="150"/>
    <cellStyle name="_1LGE model 4-4-02 2pm_1_data2_comparables analysis 040803" xfId="151"/>
    <cellStyle name="_1LGE model 4-4-02 2pm_1_data2_comparables analysis 040803_1Compfinal test28LGE i" xfId="152"/>
    <cellStyle name="_1LGE model 4-4-02 2pm_1_data2_comparables analysis 040803_CompsAll 042803" xfId="153"/>
    <cellStyle name="_1LGE model 4-4-02 2pm_1_data2_comparables analysis 040803_CompsAll 042803_1Compfinal test28LGE i" xfId="154"/>
    <cellStyle name="_1LGE model 4-4-02 2pm_1_data2_comparables analysis 040803_CompsAll 042803_Orion (excav@tor)" xfId="155"/>
    <cellStyle name="_1LGE model 4-4-02 2pm_1_data2_comparables analysis 040803_Orion (excav@tor)" xfId="156"/>
    <cellStyle name="_1LGE model 4-4-02 2pm_1_data2_Orion (excav@tor)" xfId="157"/>
    <cellStyle name="_1LGE model 4-4-02 2pm_1Compfinal test28LGE i" xfId="158"/>
    <cellStyle name="_1LGE model 4-4-02 2pm_comparables analysis 040803" xfId="159"/>
    <cellStyle name="_1LGE model 4-4-02 2pm_comparables analysis 040803_1Compfinal test28LGE i" xfId="160"/>
    <cellStyle name="_1LGE model 4-4-02 2pm_comparables analysis 040803_CompsAll 042803" xfId="161"/>
    <cellStyle name="_1LGE model 4-4-02 2pm_comparables analysis 040803_CompsAll 042803_1Compfinal test28LGE i" xfId="162"/>
    <cellStyle name="_1LGE model 4-4-02 2pm_comparables analysis 040803_CompsAll 042803_Orion (excav@tor)" xfId="163"/>
    <cellStyle name="_1LGE model 4-4-02 2pm_comparables analysis 040803_Orion (excav@tor)" xfId="164"/>
    <cellStyle name="_1LGE model 4-4-02 2pm_Orion (excav@tor)" xfId="165"/>
    <cellStyle name="_1LGE model 5-31-02 11am" xfId="166"/>
    <cellStyle name="_1LGE model 5-31-02 11am_1_data yearly" xfId="167"/>
    <cellStyle name="_1LGE model 5-31-02 11am_1_data yearly_1Compfinal test28LGE i" xfId="168"/>
    <cellStyle name="_1LGE model 5-31-02 11am_1_data yearly_comparables analysis 040803" xfId="169"/>
    <cellStyle name="_1LGE model 5-31-02 11am_1_data yearly_comparables analysis 040803_1Compfinal test28LGE i" xfId="170"/>
    <cellStyle name="_1LGE model 5-31-02 11am_1_data yearly_comparables analysis 040803_CompsAll 042803" xfId="171"/>
    <cellStyle name="_1LGE model 5-31-02 11am_1_data yearly_comparables analysis 040803_CompsAll 042803_1Compfinal test28LGE i" xfId="172"/>
    <cellStyle name="_1LGE model 5-31-02 11am_1_data yearly_comparables analysis 040803_CompsAll 042803_Orion (excav@tor)" xfId="173"/>
    <cellStyle name="_1LGE model 5-31-02 11am_1_data yearly_comparables analysis 040803_Orion (excav@tor)" xfId="174"/>
    <cellStyle name="_1LGE model 5-31-02 11am_1_data yearly_Orion (excav@tor)" xfId="175"/>
    <cellStyle name="_1LGE model 5-31-02 11am_1_data2" xfId="176"/>
    <cellStyle name="_1LGE model 5-31-02 11am_1_data2_1Compfinal test28LGE i" xfId="177"/>
    <cellStyle name="_1LGE model 5-31-02 11am_1_data2_comparables analysis 040803" xfId="178"/>
    <cellStyle name="_1LGE model 5-31-02 11am_1_data2_comparables analysis 040803_1Compfinal test28LGE i" xfId="179"/>
    <cellStyle name="_1LGE model 5-31-02 11am_1_data2_comparables analysis 040803_CompsAll 042803" xfId="180"/>
    <cellStyle name="_1LGE model 5-31-02 11am_1_data2_comparables analysis 040803_CompsAll 042803_1Compfinal test28LGE i" xfId="181"/>
    <cellStyle name="_1LGE model 5-31-02 11am_1_data2_comparables analysis 040803_CompsAll 042803_Orion (excav@tor)" xfId="182"/>
    <cellStyle name="_1LGE model 5-31-02 11am_1_data2_comparables analysis 040803_Orion (excav@tor)" xfId="183"/>
    <cellStyle name="_1LGE model 5-31-02 11am_1_data2_Orion (excav@tor)" xfId="184"/>
    <cellStyle name="_1LGE model 5-31-02 11am_1Compfinal test28LGE i" xfId="185"/>
    <cellStyle name="_1LGE model 5-31-02 11am_comparables analysis 040803" xfId="186"/>
    <cellStyle name="_1LGE model 5-31-02 11am_comparables analysis 040803_1Compfinal test28LGE i" xfId="187"/>
    <cellStyle name="_1LGE model 5-31-02 11am_comparables analysis 040803_CompsAll 042803" xfId="188"/>
    <cellStyle name="_1LGE model 5-31-02 11am_comparables analysis 040803_CompsAll 042803_1Compfinal test28LGE i" xfId="189"/>
    <cellStyle name="_1LGE model 5-31-02 11am_comparables analysis 040803_CompsAll 042803_Orion (excav@tor)" xfId="190"/>
    <cellStyle name="_1LGE model 5-31-02 11am_comparables analysis 040803_Orion (excav@tor)" xfId="191"/>
    <cellStyle name="_1LGE model 5-31-02 11am_Orion (excav@tor)" xfId="192"/>
    <cellStyle name="_1LGE model 5-7-02 4pm" xfId="193"/>
    <cellStyle name="_1LGE model 5-7-02 4pm_1_data yearly" xfId="194"/>
    <cellStyle name="_1LGE model 5-7-02 4pm_1_data yearly_1Compfinal test28LGE i" xfId="195"/>
    <cellStyle name="_1LGE model 5-7-02 4pm_1_data yearly_comparables analysis 040803" xfId="196"/>
    <cellStyle name="_1LGE model 5-7-02 4pm_1_data yearly_comparables analysis 040803_1Compfinal test28LGE i" xfId="197"/>
    <cellStyle name="_1LGE model 5-7-02 4pm_1_data yearly_comparables analysis 040803_CompsAll 042803" xfId="198"/>
    <cellStyle name="_1LGE model 5-7-02 4pm_1_data yearly_comparables analysis 040803_CompsAll 042803_1Compfinal test28LGE i" xfId="199"/>
    <cellStyle name="_1LGE model 5-7-02 4pm_1_data yearly_comparables analysis 040803_CompsAll 042803_Orion (excav@tor)" xfId="200"/>
    <cellStyle name="_1LGE model 5-7-02 4pm_1_data yearly_comparables analysis 040803_Orion (excav@tor)" xfId="201"/>
    <cellStyle name="_1LGE model 5-7-02 4pm_1_data yearly_Orion (excav@tor)" xfId="202"/>
    <cellStyle name="_1LGE model 5-7-02 4pm_1_data2" xfId="203"/>
    <cellStyle name="_1LGE model 5-7-02 4pm_1_data2_1Compfinal test28LGE i" xfId="204"/>
    <cellStyle name="_1LGE model 5-7-02 4pm_1_data2_comparables analysis 040803" xfId="205"/>
    <cellStyle name="_1LGE model 5-7-02 4pm_1_data2_comparables analysis 040803_1Compfinal test28LGE i" xfId="206"/>
    <cellStyle name="_1LGE model 5-7-02 4pm_1_data2_comparables analysis 040803_CompsAll 042803" xfId="207"/>
    <cellStyle name="_1LGE model 5-7-02 4pm_1_data2_comparables analysis 040803_CompsAll 042803_1Compfinal test28LGE i" xfId="208"/>
    <cellStyle name="_1LGE model 5-7-02 4pm_1_data2_comparables analysis 040803_CompsAll 042803_Orion (excav@tor)" xfId="209"/>
    <cellStyle name="_1LGE model 5-7-02 4pm_1_data2_comparables analysis 040803_Orion (excav@tor)" xfId="210"/>
    <cellStyle name="_1LGE model 5-7-02 4pm_1_data2_Orion (excav@tor)" xfId="211"/>
    <cellStyle name="_1LGE model 5-7-02 4pm_1Compfinal test28LGE i" xfId="212"/>
    <cellStyle name="_1LGE model 5-7-02 4pm_comparables analysis 040803" xfId="213"/>
    <cellStyle name="_1LGE model 5-7-02 4pm_comparables analysis 040803_1Compfinal test28LGE i" xfId="214"/>
    <cellStyle name="_1LGE model 5-7-02 4pm_comparables analysis 040803_CompsAll 042803" xfId="215"/>
    <cellStyle name="_1LGE model 5-7-02 4pm_comparables analysis 040803_CompsAll 042803_1Compfinal test28LGE i" xfId="216"/>
    <cellStyle name="_1LGE model 5-7-02 4pm_comparables analysis 040803_CompsAll 042803_Orion (excav@tor)" xfId="217"/>
    <cellStyle name="_1LGE model 5-7-02 4pm_comparables analysis 040803_Orion (excav@tor)" xfId="218"/>
    <cellStyle name="_1LGE model 5-7-02 4pm_Orion (excav@tor)" xfId="219"/>
    <cellStyle name="_1LGE model 6-2-02 9am" xfId="220"/>
    <cellStyle name="_1LGE model 6-2-02 9am_1_data yearly" xfId="221"/>
    <cellStyle name="_1LGE model 6-2-02 9am_1_data yearly_1Compfinal test28LGE i" xfId="222"/>
    <cellStyle name="_1LGE model 6-2-02 9am_1_data yearly_comparables analysis 040803" xfId="223"/>
    <cellStyle name="_1LGE model 6-2-02 9am_1_data yearly_comparables analysis 040803_1Compfinal test28LGE i" xfId="224"/>
    <cellStyle name="_1LGE model 6-2-02 9am_1_data yearly_comparables analysis 040803_CompsAll 042803" xfId="225"/>
    <cellStyle name="_1LGE model 6-2-02 9am_1_data yearly_comparables analysis 040803_CompsAll 042803_1Compfinal test28LGE i" xfId="226"/>
    <cellStyle name="_1LGE model 6-2-02 9am_1_data yearly_comparables analysis 040803_CompsAll 042803_Orion (excav@tor)" xfId="227"/>
    <cellStyle name="_1LGE model 6-2-02 9am_1_data yearly_comparables analysis 040803_Orion (excav@tor)" xfId="228"/>
    <cellStyle name="_1LGE model 6-2-02 9am_1_data yearly_Orion (excav@tor)" xfId="229"/>
    <cellStyle name="_1LGE model 6-2-02 9am_1_data2" xfId="230"/>
    <cellStyle name="_1LGE model 6-2-02 9am_1_data2_1Compfinal test28LGE i" xfId="231"/>
    <cellStyle name="_1LGE model 6-2-02 9am_1_data2_comparables analysis 040803" xfId="232"/>
    <cellStyle name="_1LGE model 6-2-02 9am_1_data2_comparables analysis 040803_1Compfinal test28LGE i" xfId="233"/>
    <cellStyle name="_1LGE model 6-2-02 9am_1_data2_comparables analysis 040803_CompsAll 042803" xfId="234"/>
    <cellStyle name="_1LGE model 6-2-02 9am_1_data2_comparables analysis 040803_CompsAll 042803_1Compfinal test28LGE i" xfId="235"/>
    <cellStyle name="_1LGE model 6-2-02 9am_1_data2_comparables analysis 040803_CompsAll 042803_Orion (excav@tor)" xfId="236"/>
    <cellStyle name="_1LGE model 6-2-02 9am_1_data2_comparables analysis 040803_Orion (excav@tor)" xfId="237"/>
    <cellStyle name="_1LGE model 6-2-02 9am_1_data2_Orion (excav@tor)" xfId="238"/>
    <cellStyle name="_1LGE model 6-2-02 9am_1Compfinal test28LGE i" xfId="239"/>
    <cellStyle name="_1LGE model 6-2-02 9am_comparables analysis 040803" xfId="240"/>
    <cellStyle name="_1LGE model 6-2-02 9am_comparables analysis 040803_1Compfinal test28LGE i" xfId="241"/>
    <cellStyle name="_1LGE model 6-2-02 9am_comparables analysis 040803_CompsAll 042803" xfId="242"/>
    <cellStyle name="_1LGE model 6-2-02 9am_comparables analysis 040803_CompsAll 042803_1Compfinal test28LGE i" xfId="243"/>
    <cellStyle name="_1LGE model 6-2-02 9am_comparables analysis 040803_CompsAll 042803_Orion (excav@tor)" xfId="244"/>
    <cellStyle name="_1LGE model 6-2-02 9am_comparables analysis 040803_Orion (excav@tor)" xfId="245"/>
    <cellStyle name="_1LGE model 6-2-02 9am_Orion (excav@tor)" xfId="246"/>
    <cellStyle name="_1LGE model 9-17-02 2pm" xfId="247"/>
    <cellStyle name="_1LGE model 9-17-02 2pm_1Compfinal test28LGE i" xfId="248"/>
    <cellStyle name="_1LGE model 9-17-02 2pm_comparables analysis 040803" xfId="249"/>
    <cellStyle name="_1LGE model 9-17-02 2pm_comparables analysis 040803_1Compfinal test28LGE i" xfId="250"/>
    <cellStyle name="_1LGE model 9-17-02 2pm_comparables analysis 040803_CompsAll 042803" xfId="251"/>
    <cellStyle name="_1LGE model 9-17-02 2pm_comparables analysis 040803_CompsAll 042803_1Compfinal test28LGE i" xfId="252"/>
    <cellStyle name="_a00140_Jinro" xfId="253"/>
    <cellStyle name="_A01800_오리온_revised_(1)(1)-Soutput sheet 추가" xfId="254"/>
    <cellStyle name="_Book2" xfId="255"/>
    <cellStyle name="_Book3" xfId="256"/>
    <cellStyle name="_Book3_풀무원추정030408" xfId="257"/>
    <cellStyle name="_Book3_풀무원추정030408_풀무원추정030408" xfId="258"/>
    <cellStyle name="_data_annl" xfId="259"/>
    <cellStyle name="_data_mkt" xfId="260"/>
    <cellStyle name="_data_quart" xfId="261"/>
    <cellStyle name="_DCF_Toto" xfId="262"/>
    <cellStyle name="_DMC-2.xls Chart 1" xfId="263"/>
    <cellStyle name="_DMC-2.xls Chart 1_a00140_Jinro" xfId="264"/>
    <cellStyle name="_DMC-2.xls Chart 1_A01800_오리온_revised_(1)(1)-Soutput sheet 추가" xfId="265"/>
    <cellStyle name="_DMC-2.xls Chart 1_DCF_Toto" xfId="266"/>
    <cellStyle name="_DMC-2.xls Chart 1_Hite_Aug" xfId="267"/>
    <cellStyle name="_DMC-2.xls Chart 1_Keyang_earnings" xfId="268"/>
    <cellStyle name="_DMC-2.xls Chart 1_Keyang_earnings_HotelShilla_earnings" xfId="269"/>
    <cellStyle name="_DMC-2.xls Chart 1_Keyang_earnings_HotelShilla_earnings (050530)" xfId="270"/>
    <cellStyle name="_DMC-2.xls Chart 1_Keyang_earnings_KangwonLand_earnings_1" xfId="271"/>
    <cellStyle name="_DMC-2.xls Chart 1_Keyang_earnings_Keyang_earnings" xfId="272"/>
    <cellStyle name="_DMC-2.xls Chart 1_Keyang_earnings_Paradise_earnings" xfId="273"/>
    <cellStyle name="_DMC-2.xls Chart 1_Orion_Feb" xfId="274"/>
    <cellStyle name="_DMC-2.xls Chart 1_Pulmuone_Feb04" xfId="275"/>
    <cellStyle name="_DMC-2.xls Chart 1_VM_제조" xfId="276"/>
    <cellStyle name="_Eguide11111" xfId="277"/>
    <cellStyle name="_EM_SBS" xfId="278"/>
    <cellStyle name="_HE-1H99-Project.xls Chart 1" xfId="279"/>
    <cellStyle name="_HE-1H99-Project.xls Chart 1_Keyang_earnings" xfId="280"/>
    <cellStyle name="_HE-1H99-Project.xls Chart 1_Keyang_earnings_HotelShilla_earnings" xfId="281"/>
    <cellStyle name="_HE-1H99-Project.xls Chart 1_Keyang_earnings_HotelShilla_earnings (050530)" xfId="282"/>
    <cellStyle name="_HE-1H99-Project.xls Chart 1_Keyang_earnings_KangwonLand_earnings_1" xfId="283"/>
    <cellStyle name="_HE-1H99-Project.xls Chart 1_Keyang_earnings_Keyang_earnings" xfId="284"/>
    <cellStyle name="_HE-1H99-Project.xls Chart 1_Keyang_earnings_Paradise_earnings" xfId="285"/>
    <cellStyle name="_HE-1H99-Project.xls Chart 2" xfId="286"/>
    <cellStyle name="_HE-1H99-Project.xls Chart 2_Keyang_earnings" xfId="287"/>
    <cellStyle name="_HE-1H99-Project.xls Chart 2_Keyang_earnings_HotelShilla_earnings" xfId="288"/>
    <cellStyle name="_HE-1H99-Project.xls Chart 2_Keyang_earnings_HotelShilla_earnings (050530)" xfId="289"/>
    <cellStyle name="_HE-1H99-Project.xls Chart 2_Keyang_earnings_KangwonLand_earnings_1" xfId="290"/>
    <cellStyle name="_HE-1H99-Project.xls Chart 2_Keyang_earnings_Keyang_earnings" xfId="291"/>
    <cellStyle name="_HE-1H99-Project.xls Chart 2_Keyang_earnings_Paradise_earnings" xfId="292"/>
    <cellStyle name="_HE-1H99-Project.xls Chart 3" xfId="293"/>
    <cellStyle name="_HE-1H99-Project.xls Chart 3_Keyang_earnings" xfId="294"/>
    <cellStyle name="_HE-1H99-Project.xls Chart 3_Keyang_earnings_HotelShilla_earnings" xfId="295"/>
    <cellStyle name="_HE-1H99-Project.xls Chart 3_Keyang_earnings_HotelShilla_earnings (050530)" xfId="296"/>
    <cellStyle name="_HE-1H99-Project.xls Chart 3_Keyang_earnings_KangwonLand_earnings_1" xfId="297"/>
    <cellStyle name="_HE-1H99-Project.xls Chart 3_Keyang_earnings_Keyang_earnings" xfId="298"/>
    <cellStyle name="_HE-1H99-Project.xls Chart 3_Keyang_earnings_Paradise_earnings" xfId="299"/>
    <cellStyle name="_HE-1H99-Project.xls Chart 4" xfId="300"/>
    <cellStyle name="_HE-1H99-Project.xls Chart 4_Keyang_earnings" xfId="301"/>
    <cellStyle name="_HE-1H99-Project.xls Chart 4_Keyang_earnings_HotelShilla_earnings" xfId="302"/>
    <cellStyle name="_HE-1H99-Project.xls Chart 4_Keyang_earnings_HotelShilla_earnings (050530)" xfId="303"/>
    <cellStyle name="_HE-1H99-Project.xls Chart 4_Keyang_earnings_KangwonLand_earnings_1" xfId="304"/>
    <cellStyle name="_HE-1H99-Project.xls Chart 4_Keyang_earnings_Keyang_earnings" xfId="305"/>
    <cellStyle name="_HE-1H99-Project.xls Chart 4_Keyang_earnings_Paradise_earnings" xfId="306"/>
    <cellStyle name="_HE-1H99-Project.xls Chart 5" xfId="307"/>
    <cellStyle name="_HE-1H99-Project.xls Chart 5_Keyang_earnings" xfId="308"/>
    <cellStyle name="_HE-1H99-Project.xls Chart 5_Keyang_earnings_HotelShilla_earnings" xfId="309"/>
    <cellStyle name="_HE-1H99-Project.xls Chart 5_Keyang_earnings_HotelShilla_earnings (050530)" xfId="310"/>
    <cellStyle name="_HE-1H99-Project.xls Chart 5_Keyang_earnings_KangwonLand_earnings_1" xfId="311"/>
    <cellStyle name="_HE-1H99-Project.xls Chart 5_Keyang_earnings_Keyang_earnings" xfId="312"/>
    <cellStyle name="_HE-1H99-Project.xls Chart 5_Keyang_earnings_Paradise_earnings" xfId="313"/>
    <cellStyle name="_HE-1H99-Project.xls Chart 6" xfId="314"/>
    <cellStyle name="_HE-1H99-Project.xls Chart 6_Keyang_earnings" xfId="315"/>
    <cellStyle name="_HE-1H99-Project.xls Chart 6_Keyang_earnings_HotelShilla_earnings" xfId="316"/>
    <cellStyle name="_HE-1H99-Project.xls Chart 6_Keyang_earnings_HotelShilla_earnings (050530)" xfId="317"/>
    <cellStyle name="_HE-1H99-Project.xls Chart 6_Keyang_earnings_KangwonLand_earnings_1" xfId="318"/>
    <cellStyle name="_HE-1H99-Project.xls Chart 6_Keyang_earnings_Keyang_earnings" xfId="319"/>
    <cellStyle name="_HE-1H99-Project.xls Chart 6_Keyang_earnings_Paradise_earnings" xfId="320"/>
    <cellStyle name="_HE-1H99-Project.xls Chart 7" xfId="321"/>
    <cellStyle name="_HE-1H99-Project.xls Chart 7_Keyang_earnings" xfId="322"/>
    <cellStyle name="_HE-1H99-Project.xls Chart 7_Keyang_earnings_HotelShilla_earnings" xfId="323"/>
    <cellStyle name="_HE-1H99-Project.xls Chart 7_Keyang_earnings_HotelShilla_earnings (050530)" xfId="324"/>
    <cellStyle name="_HE-1H99-Project.xls Chart 7_Keyang_earnings_KangwonLand_earnings_1" xfId="325"/>
    <cellStyle name="_HE-1H99-Project.xls Chart 7_Keyang_earnings_Keyang_earnings" xfId="326"/>
    <cellStyle name="_HE-1H99-Project.xls Chart 7_Keyang_earnings_Paradise_earnings" xfId="327"/>
    <cellStyle name="_Hite_Aug" xfId="328"/>
    <cellStyle name="_Jinro-FS" xfId="329"/>
    <cellStyle name="_Keyang_earnings" xfId="330"/>
    <cellStyle name="_Keyang_earnings_HotelShilla_earnings" xfId="331"/>
    <cellStyle name="_Keyang_earnings_HotelShilla_earnings (050530)" xfId="332"/>
    <cellStyle name="_Keyang_earnings_KangwonLand_earnings_1" xfId="333"/>
    <cellStyle name="_Keyang_earnings_Keyang_earnings" xfId="334"/>
    <cellStyle name="_Keyang_earnings_Paradise_earnings" xfId="335"/>
    <cellStyle name="_LG상사" xfId="336"/>
    <cellStyle name="_Orion_Feb" xfId="337"/>
    <cellStyle name="_PLDT" xfId="338"/>
    <cellStyle name="_PLDT_a00140_Jinro" xfId="339"/>
    <cellStyle name="_PLDT_A01800_오리온_revised_(1)(1)-Soutput sheet 추가" xfId="340"/>
    <cellStyle name="_PLDT_DCF_Toto" xfId="341"/>
    <cellStyle name="_PLDT_Hite_Aug" xfId="342"/>
    <cellStyle name="_PLDT_Keyang_earnings" xfId="343"/>
    <cellStyle name="_PLDT_Keyang_earnings_HotelShilla_earnings" xfId="344"/>
    <cellStyle name="_PLDT_Keyang_earnings_HotelShilla_earnings (050530)" xfId="345"/>
    <cellStyle name="_PLDT_Keyang_earnings_KangwonLand_earnings_1" xfId="346"/>
    <cellStyle name="_PLDT_Keyang_earnings_Keyang_earnings" xfId="347"/>
    <cellStyle name="_PLDT_Keyang_earnings_Paradise_earnings" xfId="348"/>
    <cellStyle name="_PLDT_Orion_Feb" xfId="349"/>
    <cellStyle name="_PLDT_Pulmuone_Feb04" xfId="350"/>
    <cellStyle name="_PLDT_VM_제조" xfId="351"/>
    <cellStyle name="_Pulmuone_Feb04" xfId="352"/>
    <cellStyle name="_quart" xfId="353"/>
    <cellStyle name="_setting" xfId="354"/>
    <cellStyle name="_setting_capex" xfId="355"/>
    <cellStyle name="_setting_data_annl" xfId="356"/>
    <cellStyle name="_setting_data_annl_Book2" xfId="357"/>
    <cellStyle name="_setting_data_mkt" xfId="358"/>
    <cellStyle name="_setting_data_mkt_Book2" xfId="359"/>
    <cellStyle name="_setting_data_quart" xfId="360"/>
    <cellStyle name="_setting_data_quart_Book2" xfId="361"/>
    <cellStyle name="_setting_data_quart_V04370" xfId="362"/>
    <cellStyle name="_setting_qrt_cal" xfId="363"/>
    <cellStyle name="_setting_qrt_cal_Book2" xfId="364"/>
    <cellStyle name="_setting_qrt_cal_data_annl" xfId="365"/>
    <cellStyle name="_setting_qrt_cal_data_mkt" xfId="366"/>
    <cellStyle name="_setting_qrt_cal_data_quart" xfId="367"/>
    <cellStyle name="_setting_qrt_cal_quart" xfId="368"/>
    <cellStyle name="_setting_qrt_cal_sheet4" xfId="369"/>
    <cellStyle name="_setting_qrt_cal_V00140" xfId="370"/>
    <cellStyle name="_setting_qrt_cal_V04370" xfId="371"/>
    <cellStyle name="_setting_qrt_cal_매출및이익" xfId="372"/>
    <cellStyle name="_setting_qrt_cal_수정" xfId="373"/>
    <cellStyle name="_setting_quart" xfId="374"/>
    <cellStyle name="_setting_quart_Book2" xfId="375"/>
    <cellStyle name="_setting_quart_data_annl" xfId="376"/>
    <cellStyle name="_setting_quart_data_mkt" xfId="377"/>
    <cellStyle name="_setting_quart_data_quart" xfId="378"/>
    <cellStyle name="_setting_quart_quart" xfId="379"/>
    <cellStyle name="_setting_quart_sheet4" xfId="380"/>
    <cellStyle name="_setting_quart_V00140" xfId="381"/>
    <cellStyle name="_setting_quart_V04370" xfId="382"/>
    <cellStyle name="_setting_quart_매출및이익" xfId="383"/>
    <cellStyle name="_setting_quart_수정" xfId="384"/>
    <cellStyle name="_setting_sheet4" xfId="385"/>
    <cellStyle name="_setting_모닝용" xfId="386"/>
    <cellStyle name="_setting_현대자동차aa" xfId="387"/>
    <cellStyle name="_Sheet1" xfId="388"/>
    <cellStyle name="_sheet4" xfId="389"/>
    <cellStyle name="_tax" xfId="390"/>
    <cellStyle name="_tax_a00140_Jinro" xfId="391"/>
    <cellStyle name="_tax_A01800_오리온_revised_(1)(1)-Soutput sheet 추가" xfId="392"/>
    <cellStyle name="_tax_DCF_Toto" xfId="393"/>
    <cellStyle name="_tax_Hite_Aug" xfId="394"/>
    <cellStyle name="_tax_Keyang_earnings" xfId="395"/>
    <cellStyle name="_tax_Keyang_earnings_HotelShilla_earnings" xfId="396"/>
    <cellStyle name="_tax_Keyang_earnings_HotelShilla_earnings (050530)" xfId="397"/>
    <cellStyle name="_tax_Keyang_earnings_KangwonLand_earnings_1" xfId="398"/>
    <cellStyle name="_tax_Keyang_earnings_Keyang_earnings" xfId="399"/>
    <cellStyle name="_tax_Keyang_earnings_Paradise_earnings" xfId="400"/>
    <cellStyle name="_tax_Orion_Feb" xfId="401"/>
    <cellStyle name="_tax_Pulmuone_Feb04" xfId="402"/>
    <cellStyle name="_tax_VM_제조" xfId="403"/>
    <cellStyle name="_Tourism Cost" xfId="404"/>
    <cellStyle name="_V00140" xfId="405"/>
    <cellStyle name="_v01800_계열사" xfId="406"/>
    <cellStyle name="_V04370" xfId="407"/>
    <cellStyle name="_v05180" xfId="408"/>
    <cellStyle name="_V33780" xfId="409"/>
    <cellStyle name="_Val" xfId="410"/>
    <cellStyle name="_valuation_model1" xfId="411"/>
    <cellStyle name="_VM_제조" xfId="412"/>
    <cellStyle name="_wise" xfId="413"/>
    <cellStyle name="_건설" xfId="414"/>
    <cellStyle name="_롯데쇼핑_20060117" xfId="415"/>
    <cellStyle name="_롯데쇼핑_20060802" xfId="416"/>
    <cellStyle name="_매출및이익" xfId="417"/>
    <cellStyle name="_배당 및 지분법이익" xfId="418"/>
    <cellStyle name="_수정" xfId="419"/>
    <cellStyle name="_시장" xfId="420"/>
    <cellStyle name="_에스비에스_20070319" xfId="421"/>
    <cellStyle name="_온라인점유율" xfId="422"/>
    <cellStyle name="_인터파크추정0406" xfId="423"/>
    <cellStyle name="_전자상거래시장(통계처예)" xfId="424"/>
    <cellStyle name="_제일기획추정040129" xfId="425"/>
    <cellStyle name="_조직도" xfId="426"/>
    <cellStyle name="_조직도_a00140_Jinro" xfId="427"/>
    <cellStyle name="_조직도_A01800_오리온_revised_(1)(1)-Soutput sheet 추가" xfId="428"/>
    <cellStyle name="_조직도_DCF_Toto" xfId="429"/>
    <cellStyle name="_조직도_Hite_Aug" xfId="430"/>
    <cellStyle name="_조직도_Keyang_earnings" xfId="431"/>
    <cellStyle name="_조직도_Keyang_earnings_HotelShilla_earnings" xfId="432"/>
    <cellStyle name="_조직도_Keyang_earnings_HotelShilla_earnings (050530)" xfId="433"/>
    <cellStyle name="_조직도_Keyang_earnings_KangwonLand_earnings_1" xfId="434"/>
    <cellStyle name="_조직도_Keyang_earnings_Keyang_earnings" xfId="435"/>
    <cellStyle name="_조직도_Keyang_earnings_Paradise_earnings" xfId="436"/>
    <cellStyle name="_조직도_Orion_Feb" xfId="437"/>
    <cellStyle name="_조직도_Pulmuone_Feb04" xfId="438"/>
    <cellStyle name="_조직도_VM_제조" xfId="439"/>
    <cellStyle name="_큐릭스_20060623" xfId="440"/>
    <cellStyle name="_풀무원추정030408" xfId="441"/>
    <cellStyle name="_풀무원추정030408_풀무원추정030408" xfId="442"/>
    <cellStyle name="_풀무원추정030408_풀무원추정030408_Book3" xfId="443"/>
    <cellStyle name="_풀무원추정030408_풀무원추정030408_Book3_풀무원추정030408" xfId="444"/>
    <cellStyle name="_풀무원추정030408_풀무원추정030408_Book3_풀무원추정030408_풀무원추정030408" xfId="445"/>
    <cellStyle name="_풀무원추정030408_풀무원추정030408_풀무원추정030408" xfId="446"/>
    <cellStyle name="_풀무원추정030408_풀무원추정030408_풀무원추정030408_풀무원추정030408" xfId="447"/>
    <cellStyle name="_풀무원추정030408_풀무원추정030408_풀무원추정030408_풀무원추정030408_풀무원추정030408" xfId="448"/>
    <cellStyle name="¤@?e_TEST-1 " xfId="449"/>
    <cellStyle name="20% - 강조색1 2" xfId="450"/>
    <cellStyle name="20% - 강조색2 2" xfId="451"/>
    <cellStyle name="20% - 강조색3 2" xfId="452"/>
    <cellStyle name="20% - 강조색4 2" xfId="453"/>
    <cellStyle name="20% - 강조색5 2" xfId="454"/>
    <cellStyle name="20% - 강조색6 2" xfId="455"/>
    <cellStyle name="40% - 강조색1 2" xfId="456"/>
    <cellStyle name="40% - 강조색2 2" xfId="457"/>
    <cellStyle name="40% - 강조색3 2" xfId="458"/>
    <cellStyle name="40% - 강조색4 2" xfId="459"/>
    <cellStyle name="40% - 강조색5 2" xfId="460"/>
    <cellStyle name="40% - 강조색6 2" xfId="461"/>
    <cellStyle name="60% - 강조색1 2" xfId="462"/>
    <cellStyle name="60% - 강조색2 2" xfId="463"/>
    <cellStyle name="60% - 강조색3 2" xfId="464"/>
    <cellStyle name="60% - 강조색4 2" xfId="465"/>
    <cellStyle name="60% - 강조색5 2" xfId="466"/>
    <cellStyle name="60% - 강조색6 2" xfId="467"/>
    <cellStyle name="AeE­ [0]_°øAa¸eA|½AA≫" xfId="468"/>
    <cellStyle name="ÅëÈ­ [0]_µ¥ÀÌÅ¸" xfId="469"/>
    <cellStyle name="AeE­ [0]_TestResults" xfId="470"/>
    <cellStyle name="ÅëÈ­ [0]_TestResults" xfId="471"/>
    <cellStyle name="AeE­_°øAa¸eA|½AA≫" xfId="472"/>
    <cellStyle name="ÅëÈ­_µ¥ÀÌÅ¸" xfId="473"/>
    <cellStyle name="AeE­_TestResults" xfId="474"/>
    <cellStyle name="ÅëÈ­_TestResults" xfId="475"/>
    <cellStyle name="ArialNormal" xfId="476"/>
    <cellStyle name="ÄÞ¸¶ [0]_µ¥ÀÌÅ¸" xfId="477"/>
    <cellStyle name="AÞ¸¶ [0]_AN°y(1.25) " xfId="478"/>
    <cellStyle name="ÄÞ¸¶ [0]_TestResults" xfId="479"/>
    <cellStyle name="ÄÞ¸¶_µ¥ÀÌÅ¸" xfId="480"/>
    <cellStyle name="AÞ¸¶_AN°y(1.25) " xfId="481"/>
    <cellStyle name="ÄÞ¸¶_TestResults" xfId="482"/>
    <cellStyle name="Ç¥ÁØ_# share" xfId="483"/>
    <cellStyle name="C￥AØ_≫c¾÷ºIº° AN°e " xfId="484"/>
    <cellStyle name="Ç¥ÁØ_12¿ù " xfId="485"/>
    <cellStyle name="C￥AØ_TestResults" xfId="486"/>
    <cellStyle name="Ç¥ÁØ_TestResults" xfId="487"/>
    <cellStyle name="C￥AØ_TestResults_Book2" xfId="488"/>
    <cellStyle name="Ç¥ÁØ_TestResults_Book2" xfId="489"/>
    <cellStyle name="C￥AØ_TestResults_data_annl" xfId="490"/>
    <cellStyle name="Ç¥ÁØ_TestResults_data_annl" xfId="491"/>
    <cellStyle name="C￥AØ_TestResults_data_mkt" xfId="492"/>
    <cellStyle name="Ç¥ÁØ_TestResults_data_mkt" xfId="493"/>
    <cellStyle name="C￥AØ_TestResults_data_quart" xfId="494"/>
    <cellStyle name="Ç¥ÁØ_TestResults_data_quart" xfId="495"/>
    <cellStyle name="C￥AØ_TestResults_quart" xfId="496"/>
    <cellStyle name="Ç¥ÁØ_TestResults_quart" xfId="497"/>
    <cellStyle name="C￥AØ_TestResults_sheet4" xfId="498"/>
    <cellStyle name="Ç¥ÁØ_TestResults_sheet4" xfId="499"/>
    <cellStyle name="C￥AØ_TestResults_V00140" xfId="500"/>
    <cellStyle name="Ç¥ÁØ_TestResults_V00140" xfId="501"/>
    <cellStyle name="C￥AØ_TestResults_V04370" xfId="502"/>
    <cellStyle name="Ç¥ÁØ_TestResults_V04370" xfId="503"/>
    <cellStyle name="C￥AØ_TestResults_매출및이익" xfId="504"/>
    <cellStyle name="Ç¥ÁØ_TestResults_매출및이익" xfId="505"/>
    <cellStyle name="C￥AØ_TestResults_수정" xfId="506"/>
    <cellStyle name="Ç¥ÁØ_TestResults_수정" xfId="507"/>
    <cellStyle name="Calc_0dp" xfId="508"/>
    <cellStyle name="category" xfId="509"/>
    <cellStyle name="Comma  - Style1" xfId="511"/>
    <cellStyle name="Comma  - Style2" xfId="512"/>
    <cellStyle name="Comma  - Style3" xfId="513"/>
    <cellStyle name="Comma  - Style4" xfId="514"/>
    <cellStyle name="Comma  - Style5" xfId="515"/>
    <cellStyle name="Comma  - Style6" xfId="516"/>
    <cellStyle name="Comma  - Style7" xfId="517"/>
    <cellStyle name="Comma  - Style8" xfId="518"/>
    <cellStyle name="Comma [0] 2" xfId="643"/>
    <cellStyle name="Comma [1]" xfId="519"/>
    <cellStyle name="Comma 2" xfId="510"/>
    <cellStyle name="comma zerodec" xfId="520"/>
    <cellStyle name="comma zerodec 2" xfId="521"/>
    <cellStyle name="Comma(1)" xfId="522"/>
    <cellStyle name="content" xfId="523"/>
    <cellStyle name="Curren?_x0012_퐀_x0017_?" xfId="524"/>
    <cellStyle name="Currency [0] 2" xfId="526"/>
    <cellStyle name="Currency [1]" xfId="527"/>
    <cellStyle name="Currency 2" xfId="525"/>
    <cellStyle name="Currency1" xfId="528"/>
    <cellStyle name="Currency1 2" xfId="529"/>
    <cellStyle name="d" xfId="530"/>
    <cellStyle name="Data_0dp" xfId="531"/>
    <cellStyle name="date" xfId="532"/>
    <cellStyle name="Derive" xfId="533"/>
    <cellStyle name="Dollar (zero dec)" xfId="534"/>
    <cellStyle name="F2" xfId="535"/>
    <cellStyle name="F3" xfId="536"/>
    <cellStyle name="F4" xfId="537"/>
    <cellStyle name="F5" xfId="538"/>
    <cellStyle name="F6" xfId="539"/>
    <cellStyle name="F7" xfId="540"/>
    <cellStyle name="F8" xfId="541"/>
    <cellStyle name="Fixed" xfId="542"/>
    <cellStyle name="GPSBlankCell" xfId="10"/>
    <cellStyle name="GPSCalculatedCell" xfId="14"/>
    <cellStyle name="GPSCoverPageAnalyst" xfId="18"/>
    <cellStyle name="GPSCoverPageCompanyName" xfId="20"/>
    <cellStyle name="GPSCoverPageCompanySubTitle" xfId="21"/>
    <cellStyle name="GPSCoverPageDate" xfId="17"/>
    <cellStyle name="GPSCoverPageDisclaimer" xfId="19"/>
    <cellStyle name="GPSCoverPageEntity" xfId="16"/>
    <cellStyle name="GPSCoverPageUnderline" xfId="22"/>
    <cellStyle name="GPSDataItemTitle" xfId="13"/>
    <cellStyle name="GPSDivisionTitle" xfId="6"/>
    <cellStyle name="GPSFYTitle" xfId="12"/>
    <cellStyle name="GPSHeaderSubTitle" xfId="8"/>
    <cellStyle name="GPSHeaderTitle" xfId="5"/>
    <cellStyle name="GPSHidden" xfId="7"/>
    <cellStyle name="GPSInterimTitle" xfId="11"/>
    <cellStyle name="GPSPrice" xfId="15"/>
    <cellStyle name="GPSSectionHeader" xfId="9"/>
    <cellStyle name="Grey" xfId="543"/>
    <cellStyle name="HEADER" xfId="544"/>
    <cellStyle name="Header1" xfId="545"/>
    <cellStyle name="Header2" xfId="546"/>
    <cellStyle name="Heading1" xfId="547"/>
    <cellStyle name="Heading2" xfId="548"/>
    <cellStyle name="Hyperlink 2" xfId="807"/>
    <cellStyle name="Info_Main" xfId="549"/>
    <cellStyle name="Input (%)" xfId="551"/>
    <cellStyle name="Input (£m)" xfId="552"/>
    <cellStyle name="Input (No)" xfId="553"/>
    <cellStyle name="Input [yellow]" xfId="554"/>
    <cellStyle name="Input 2" xfId="550"/>
    <cellStyle name="LG_View_1" xfId="555"/>
    <cellStyle name="line" xfId="556"/>
    <cellStyle name="Model" xfId="557"/>
    <cellStyle name="Moeda [0]_DADOSMODEL" xfId="558"/>
    <cellStyle name="Moeda_DADOSMODEL" xfId="559"/>
    <cellStyle name="no dec" xfId="560"/>
    <cellStyle name="no dec 2" xfId="561"/>
    <cellStyle name="Normal - Style1" xfId="562"/>
    <cellStyle name="Normal - Style1 2" xfId="563"/>
    <cellStyle name="Normal - Style2" xfId="564"/>
    <cellStyle name="Normal - Style3" xfId="565"/>
    <cellStyle name="Normal - Style4" xfId="566"/>
    <cellStyle name="Normal - Style5" xfId="567"/>
    <cellStyle name="Normal - Style6" xfId="568"/>
    <cellStyle name="Normal - Style7" xfId="569"/>
    <cellStyle name="Normal - Style8" xfId="570"/>
    <cellStyle name="Normal (%)" xfId="571"/>
    <cellStyle name="Normal (£m)" xfId="572"/>
    <cellStyle name="Normal (No)" xfId="573"/>
    <cellStyle name="Normal (x)" xfId="574"/>
    <cellStyle name="Normal 2" xfId="25"/>
    <cellStyle name="Notes" xfId="575"/>
    <cellStyle name="PageTop" xfId="576"/>
    <cellStyle name="PctLine" xfId="577"/>
    <cellStyle name="Percent [2]" xfId="579"/>
    <cellStyle name="Percent 2" xfId="578"/>
    <cellStyle name="Separador de milhares [0]_pldt" xfId="580"/>
    <cellStyle name="Separador de milhares_pldt" xfId="581"/>
    <cellStyle name="Shade" xfId="582"/>
    <cellStyle name="subhead" xfId="583"/>
    <cellStyle name="Synopsis" xfId="584"/>
    <cellStyle name="text" xfId="585"/>
    <cellStyle name="Title 2" xfId="586"/>
    <cellStyle name="Title Line" xfId="23"/>
    <cellStyle name="Total 2" xfId="587"/>
    <cellStyle name="Use_1dp" xfId="588"/>
    <cellStyle name="UseB_1dp" xfId="589"/>
    <cellStyle name="year" xfId="590"/>
    <cellStyle name="ZZ_Date_d-mmm-yy" xfId="591"/>
    <cellStyle name="강조색1 2" xfId="592"/>
    <cellStyle name="강조색2 2" xfId="593"/>
    <cellStyle name="강조색3 2" xfId="594"/>
    <cellStyle name="강조색4 2" xfId="595"/>
    <cellStyle name="강조색5 2" xfId="596"/>
    <cellStyle name="강조색6 2" xfId="597"/>
    <cellStyle name="경고문 2" xfId="598"/>
    <cellStyle name="계산 2" xfId="599"/>
    <cellStyle name="고정소숫점" xfId="600"/>
    <cellStyle name="고정소숫점 2" xfId="601"/>
    <cellStyle name="고정출력1" xfId="602"/>
    <cellStyle name="고정출력2" xfId="603"/>
    <cellStyle name="나쁨 2" xfId="604"/>
    <cellStyle name="날짜" xfId="605"/>
    <cellStyle name="달러" xfId="606"/>
    <cellStyle name="뒤에 오는 하이퍼링크_dimon" xfId="607"/>
    <cellStyle name="똿뗦먛귟 [0.00]_PRODUCT DETAIL Q1" xfId="608"/>
    <cellStyle name="똿뗦먛귟_PRODUCT DETAIL Q1" xfId="609"/>
    <cellStyle name="메모 2" xfId="610"/>
    <cellStyle name="믅됞 [0.00]_PRODUCT DETAIL Q1" xfId="611"/>
    <cellStyle name="믅됞_PRODUCT DETAIL Q1" xfId="612"/>
    <cellStyle name="백분율" xfId="2" builtinId="5"/>
    <cellStyle name="백분율 2" xfId="4"/>
    <cellStyle name="백분율 2 2" xfId="614"/>
    <cellStyle name="백분율 2 3" xfId="615"/>
    <cellStyle name="백분율 2 4" xfId="616"/>
    <cellStyle name="백분율 2 5" xfId="613"/>
    <cellStyle name="백분율 3" xfId="617"/>
    <cellStyle name="백분율 3 2" xfId="618"/>
    <cellStyle name="백분율 3 2 2" xfId="619"/>
    <cellStyle name="백분율 3 2 3" xfId="620"/>
    <cellStyle name="백분율 3 3" xfId="621"/>
    <cellStyle name="백분율 3 4" xfId="622"/>
    <cellStyle name="백분율 3 5" xfId="623"/>
    <cellStyle name="백분율 3 6" xfId="624"/>
    <cellStyle name="백분율 4" xfId="625"/>
    <cellStyle name="백분율 4 2" xfId="626"/>
    <cellStyle name="백분율 4 2 2" xfId="627"/>
    <cellStyle name="백분율 4 2 3" xfId="628"/>
    <cellStyle name="백분율 4 3" xfId="629"/>
    <cellStyle name="백분율 4 4" xfId="630"/>
    <cellStyle name="백분율 5" xfId="631"/>
    <cellStyle name="백분율 6" xfId="632"/>
    <cellStyle name="백분율 7" xfId="633"/>
    <cellStyle name="백분율 8" xfId="634"/>
    <cellStyle name="보통 2" xfId="635"/>
    <cellStyle name="뷭?_BOOKSHIP" xfId="636"/>
    <cellStyle name="삼일-금지" xfId="637"/>
    <cellStyle name="삼일-입력" xfId="638"/>
    <cellStyle name="설명 텍스트 2" xfId="639"/>
    <cellStyle name="셀 확인 2" xfId="640"/>
    <cellStyle name="숫자(R)" xfId="641"/>
    <cellStyle name="숫자(R) 2" xfId="642"/>
    <cellStyle name="쉼표 [0]" xfId="1" builtinId="6"/>
    <cellStyle name="쉼표 [0] 11" xfId="644"/>
    <cellStyle name="쉼표 [0] 2" xfId="645"/>
    <cellStyle name="쉼표 [0] 2 2" xfId="646"/>
    <cellStyle name="쉼표 [0] 2 2 2" xfId="647"/>
    <cellStyle name="쉼표 [0] 2 3" xfId="648"/>
    <cellStyle name="쉼표 [0] 2 4" xfId="649"/>
    <cellStyle name="쉼표 [0] 3" xfId="650"/>
    <cellStyle name="쉼표 [0] 3 10" xfId="651"/>
    <cellStyle name="쉼표 [0] 3 2" xfId="652"/>
    <cellStyle name="쉼표 [0] 3 2 2" xfId="653"/>
    <cellStyle name="쉼표 [0] 3 2 3" xfId="654"/>
    <cellStyle name="쉼표 [0] 3 3" xfId="655"/>
    <cellStyle name="쉼표 [0] 3 4" xfId="656"/>
    <cellStyle name="쉼표 [0] 3 5" xfId="657"/>
    <cellStyle name="쉼표 [0] 3 6" xfId="658"/>
    <cellStyle name="쉼표 [0] 4" xfId="659"/>
    <cellStyle name="쉼표 [0] 5" xfId="660"/>
    <cellStyle name="쉼표 [0] 5 2" xfId="661"/>
    <cellStyle name="쉼표 [0] 5 3" xfId="662"/>
    <cellStyle name="쉼표 [0] 5 4" xfId="663"/>
    <cellStyle name="쉼표 [0] 6" xfId="664"/>
    <cellStyle name="쉼표 [0] 7" xfId="665"/>
    <cellStyle name="쉼표 [0] 8" xfId="666"/>
    <cellStyle name="쉼표 2" xfId="24"/>
    <cellStyle name="스타일 1" xfId="667"/>
    <cellStyle name="스타일 1 2" xfId="668"/>
    <cellStyle name="스타일 2" xfId="669"/>
    <cellStyle name="스타일 3" xfId="670"/>
    <cellStyle name="연결된 셀 2" xfId="671"/>
    <cellStyle name="요약 2" xfId="672"/>
    <cellStyle name="원" xfId="673"/>
    <cellStyle name="입력 2" xfId="674"/>
    <cellStyle name="자리수" xfId="675"/>
    <cellStyle name="자리수 2" xfId="676"/>
    <cellStyle name="자리수0" xfId="677"/>
    <cellStyle name="자리수0 2" xfId="678"/>
    <cellStyle name="제목 1 2" xfId="679"/>
    <cellStyle name="제목 2 2" xfId="680"/>
    <cellStyle name="제목 3 2" xfId="681"/>
    <cellStyle name="제목 4 2" xfId="682"/>
    <cellStyle name="제목 5" xfId="683"/>
    <cellStyle name="좋음 2" xfId="684"/>
    <cellStyle name="지정되지 않음" xfId="685"/>
    <cellStyle name="쬞\?1@" xfId="686"/>
    <cellStyle name="출력 2" xfId="687"/>
    <cellStyle name="콤마 [0]_ 견적기준 FLOW " xfId="688"/>
    <cellStyle name="콤마 [kcd]" xfId="689"/>
    <cellStyle name="콤마_ 견적기준 FLOW " xfId="690"/>
    <cellStyle name="퍼센트" xfId="691"/>
    <cellStyle name="퍼센트 2" xfId="692"/>
    <cellStyle name="표준" xfId="0" builtinId="0"/>
    <cellStyle name="표준 10" xfId="693"/>
    <cellStyle name="표준 10 2" xfId="694"/>
    <cellStyle name="표준 10 3" xfId="695"/>
    <cellStyle name="표준 102" xfId="696"/>
    <cellStyle name="표준 103" xfId="697"/>
    <cellStyle name="표준 104" xfId="698"/>
    <cellStyle name="표준 105" xfId="699"/>
    <cellStyle name="표준 106" xfId="700"/>
    <cellStyle name="표준 107" xfId="701"/>
    <cellStyle name="표준 11" xfId="702"/>
    <cellStyle name="표준 11 2" xfId="703"/>
    <cellStyle name="표준 12" xfId="704"/>
    <cellStyle name="표준 121" xfId="705"/>
    <cellStyle name="표준 122" xfId="706"/>
    <cellStyle name="표준 123" xfId="707"/>
    <cellStyle name="표준 124" xfId="708"/>
    <cellStyle name="표준 128" xfId="709"/>
    <cellStyle name="표준 13" xfId="710"/>
    <cellStyle name="표준 187" xfId="711"/>
    <cellStyle name="표준 189" xfId="712"/>
    <cellStyle name="표준 190" xfId="713"/>
    <cellStyle name="표준 191" xfId="714"/>
    <cellStyle name="표준 192" xfId="715"/>
    <cellStyle name="표준 193" xfId="716"/>
    <cellStyle name="표준 194" xfId="717"/>
    <cellStyle name="표준 195" xfId="718"/>
    <cellStyle name="표준 196" xfId="719"/>
    <cellStyle name="표준 197" xfId="720"/>
    <cellStyle name="표준 198" xfId="721"/>
    <cellStyle name="표준 199" xfId="722"/>
    <cellStyle name="표준 2" xfId="3"/>
    <cellStyle name="표준 2 10" xfId="724"/>
    <cellStyle name="표준 2 2" xfId="725"/>
    <cellStyle name="표준 2 2 2" xfId="726"/>
    <cellStyle name="표준 2 2 3" xfId="727"/>
    <cellStyle name="표준 2 2 4" xfId="728"/>
    <cellStyle name="표준 2 3" xfId="729"/>
    <cellStyle name="표준 2 3 2" xfId="730"/>
    <cellStyle name="표준 2 4" xfId="731"/>
    <cellStyle name="표준 2 4 2" xfId="732"/>
    <cellStyle name="표준 2 5" xfId="733"/>
    <cellStyle name="표준 2 6" xfId="723"/>
    <cellStyle name="표준 200" xfId="734"/>
    <cellStyle name="표준 201" xfId="735"/>
    <cellStyle name="표준 202" xfId="736"/>
    <cellStyle name="표준 203" xfId="737"/>
    <cellStyle name="표준 204" xfId="738"/>
    <cellStyle name="표준 205" xfId="739"/>
    <cellStyle name="표준 206" xfId="740"/>
    <cellStyle name="표준 207" xfId="741"/>
    <cellStyle name="표준 232" xfId="742"/>
    <cellStyle name="표준 233" xfId="743"/>
    <cellStyle name="표준 234" xfId="744"/>
    <cellStyle name="표준 235" xfId="745"/>
    <cellStyle name="표준 238" xfId="746"/>
    <cellStyle name="표준 239" xfId="747"/>
    <cellStyle name="표준 240" xfId="748"/>
    <cellStyle name="표준 241" xfId="749"/>
    <cellStyle name="표준 242" xfId="750"/>
    <cellStyle name="표준 243" xfId="751"/>
    <cellStyle name="표준 244" xfId="752"/>
    <cellStyle name="표준 245" xfId="753"/>
    <cellStyle name="표준 246" xfId="754"/>
    <cellStyle name="표준 247" xfId="755"/>
    <cellStyle name="표준 250" xfId="756"/>
    <cellStyle name="표준 252" xfId="757"/>
    <cellStyle name="표준 254" xfId="758"/>
    <cellStyle name="표준 256" xfId="759"/>
    <cellStyle name="표준 257" xfId="760"/>
    <cellStyle name="표준 258" xfId="761"/>
    <cellStyle name="표준 259" xfId="762"/>
    <cellStyle name="표준 260" xfId="763"/>
    <cellStyle name="표준 261" xfId="764"/>
    <cellStyle name="표준 3" xfId="765"/>
    <cellStyle name="표준 3 2" xfId="766"/>
    <cellStyle name="표준 3 2 2" xfId="767"/>
    <cellStyle name="표준 3 3" xfId="768"/>
    <cellStyle name="표준 3 4" xfId="769"/>
    <cellStyle name="표준 344" xfId="770"/>
    <cellStyle name="표준 345" xfId="771"/>
    <cellStyle name="표준 4" xfId="772"/>
    <cellStyle name="표준 4 2" xfId="773"/>
    <cellStyle name="표준 4 2 2" xfId="774"/>
    <cellStyle name="표준 4 2 3" xfId="775"/>
    <cellStyle name="표준 4 2 4" xfId="776"/>
    <cellStyle name="표준 4 3" xfId="777"/>
    <cellStyle name="표준 4 4" xfId="778"/>
    <cellStyle name="표준 5" xfId="779"/>
    <cellStyle name="표준 5 2" xfId="780"/>
    <cellStyle name="표준 5 3" xfId="781"/>
    <cellStyle name="표준 6" xfId="782"/>
    <cellStyle name="표준 6 2" xfId="783"/>
    <cellStyle name="표준 6 2 2" xfId="784"/>
    <cellStyle name="표준 6 2 3" xfId="785"/>
    <cellStyle name="표준 6 3" xfId="786"/>
    <cellStyle name="표준 6 4" xfId="787"/>
    <cellStyle name="표준 6 5" xfId="788"/>
    <cellStyle name="표준 7" xfId="789"/>
    <cellStyle name="표준 7 2" xfId="790"/>
    <cellStyle name="표준 7 2 2" xfId="791"/>
    <cellStyle name="표준 7 2 3" xfId="792"/>
    <cellStyle name="표준 7 3" xfId="793"/>
    <cellStyle name="표준 7 4" xfId="794"/>
    <cellStyle name="표준 7 5" xfId="795"/>
    <cellStyle name="표준 8" xfId="796"/>
    <cellStyle name="표준 8 2" xfId="797"/>
    <cellStyle name="표준 9" xfId="798"/>
    <cellStyle name="표준 9 2" xfId="799"/>
    <cellStyle name="표준 9 3" xfId="800"/>
    <cellStyle name="표준 9 4" xfId="801"/>
    <cellStyle name="표준 94" xfId="802"/>
    <cellStyle name="표준 95" xfId="803"/>
    <cellStyle name="표준 96" xfId="804"/>
    <cellStyle name="표준 99" xfId="805"/>
    <cellStyle name="標準_Akia(F）-8" xfId="806"/>
    <cellStyle name="합산" xfId="808"/>
    <cellStyle name="桁区切り [0.00]_PLDT" xfId="809"/>
    <cellStyle name="桁区切り_PLDT" xfId="810"/>
    <cellStyle name="화폐기호" xfId="811"/>
    <cellStyle name="화폐기호 2" xfId="812"/>
    <cellStyle name="화폐기호0" xfId="813"/>
    <cellStyle name="화폐기호0 2" xfId="8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롯데관광개발 주요 카지노 지표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DreamtowerCasino!$E$3:$E$4</c:f>
              <c:strCache>
                <c:ptCount val="2"/>
                <c:pt idx="0">
                  <c:v>카지노 드롭액</c:v>
                </c:pt>
                <c:pt idx="1">
                  <c:v>총계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chemeClr val="accent1"/>
              </a:solidFill>
            </a:ln>
            <a:effectLst/>
          </c:spPr>
          <c:invertIfNegative val="0"/>
          <c:cat>
            <c:numRef>
              <c:f>DreamtowerCasino!$B$5:$B$61</c:f>
              <c:numCache>
                <c:formatCode>mmm\-yy</c:formatCode>
                <c:ptCount val="57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45161</c:v>
                </c:pt>
                <c:pt idx="27">
                  <c:v>45199</c:v>
                </c:pt>
                <c:pt idx="28">
                  <c:v>45230</c:v>
                </c:pt>
                <c:pt idx="29">
                  <c:v>45260</c:v>
                </c:pt>
                <c:pt idx="30">
                  <c:v>45291</c:v>
                </c:pt>
                <c:pt idx="31">
                  <c:v>45322</c:v>
                </c:pt>
                <c:pt idx="32">
                  <c:v>45351</c:v>
                </c:pt>
                <c:pt idx="33">
                  <c:v>45382</c:v>
                </c:pt>
                <c:pt idx="34">
                  <c:v>45412</c:v>
                </c:pt>
                <c:pt idx="35">
                  <c:v>45443</c:v>
                </c:pt>
                <c:pt idx="36">
                  <c:v>45473</c:v>
                </c:pt>
                <c:pt idx="37">
                  <c:v>45504</c:v>
                </c:pt>
                <c:pt idx="38">
                  <c:v>45535</c:v>
                </c:pt>
                <c:pt idx="39">
                  <c:v>45565</c:v>
                </c:pt>
                <c:pt idx="40">
                  <c:v>45596</c:v>
                </c:pt>
                <c:pt idx="41">
                  <c:v>45626</c:v>
                </c:pt>
                <c:pt idx="42">
                  <c:v>45656</c:v>
                </c:pt>
                <c:pt idx="43">
                  <c:v>45688</c:v>
                </c:pt>
                <c:pt idx="44">
                  <c:v>45716</c:v>
                </c:pt>
                <c:pt idx="45">
                  <c:v>45741</c:v>
                </c:pt>
                <c:pt idx="46">
                  <c:v>45772</c:v>
                </c:pt>
                <c:pt idx="47">
                  <c:v>45802</c:v>
                </c:pt>
                <c:pt idx="48">
                  <c:v>45833</c:v>
                </c:pt>
                <c:pt idx="49">
                  <c:v>45863</c:v>
                </c:pt>
                <c:pt idx="50">
                  <c:v>45894</c:v>
                </c:pt>
                <c:pt idx="51">
                  <c:v>45925</c:v>
                </c:pt>
                <c:pt idx="52">
                  <c:v>45955</c:v>
                </c:pt>
                <c:pt idx="53">
                  <c:v>45986</c:v>
                </c:pt>
                <c:pt idx="54">
                  <c:v>46016</c:v>
                </c:pt>
                <c:pt idx="55">
                  <c:v>46023</c:v>
                </c:pt>
                <c:pt idx="56">
                  <c:v>46054</c:v>
                </c:pt>
              </c:numCache>
            </c:numRef>
          </c:cat>
          <c:val>
            <c:numRef>
              <c:f>DreamtowerCasino!$E$5:$E$61</c:f>
              <c:numCache>
                <c:formatCode>_(* #,##0_);_(* \(#,##0\);_(* "-"_);_(@_)</c:formatCode>
                <c:ptCount val="57"/>
                <c:pt idx="0">
                  <c:v>24429</c:v>
                </c:pt>
                <c:pt idx="1">
                  <c:v>34571</c:v>
                </c:pt>
                <c:pt idx="2">
                  <c:v>29592</c:v>
                </c:pt>
                <c:pt idx="3">
                  <c:v>18574</c:v>
                </c:pt>
                <c:pt idx="4">
                  <c:v>18247</c:v>
                </c:pt>
                <c:pt idx="5">
                  <c:v>23874</c:v>
                </c:pt>
                <c:pt idx="6">
                  <c:v>27837</c:v>
                </c:pt>
                <c:pt idx="7">
                  <c:v>40795</c:v>
                </c:pt>
                <c:pt idx="8">
                  <c:v>43318</c:v>
                </c:pt>
                <c:pt idx="9">
                  <c:v>31532</c:v>
                </c:pt>
                <c:pt idx="10">
                  <c:v>31974</c:v>
                </c:pt>
                <c:pt idx="11">
                  <c:v>32884</c:v>
                </c:pt>
                <c:pt idx="12">
                  <c:v>32691</c:v>
                </c:pt>
                <c:pt idx="13">
                  <c:v>31084</c:v>
                </c:pt>
                <c:pt idx="14">
                  <c:v>51250</c:v>
                </c:pt>
                <c:pt idx="15">
                  <c:v>69137</c:v>
                </c:pt>
                <c:pt idx="16">
                  <c:v>63222</c:v>
                </c:pt>
                <c:pt idx="17">
                  <c:v>79768</c:v>
                </c:pt>
                <c:pt idx="18">
                  <c:v>73114</c:v>
                </c:pt>
                <c:pt idx="19">
                  <c:v>73945.887436000005</c:v>
                </c:pt>
                <c:pt idx="20">
                  <c:v>50339.755855000003</c:v>
                </c:pt>
                <c:pt idx="21">
                  <c:v>104675.62958199999</c:v>
                </c:pt>
                <c:pt idx="22">
                  <c:v>105947.63970300001</c:v>
                </c:pt>
                <c:pt idx="23">
                  <c:v>123417.46157</c:v>
                </c:pt>
                <c:pt idx="24">
                  <c:v>113736.79906200001</c:v>
                </c:pt>
                <c:pt idx="25">
                  <c:v>158556.462875</c:v>
                </c:pt>
                <c:pt idx="26">
                  <c:v>160939.33186899999</c:v>
                </c:pt>
                <c:pt idx="27">
                  <c:v>121835.86229300001</c:v>
                </c:pt>
                <c:pt idx="28">
                  <c:v>156585.54827599999</c:v>
                </c:pt>
                <c:pt idx="29">
                  <c:v>136338.932665</c:v>
                </c:pt>
                <c:pt idx="30">
                  <c:v>138389.29957099998</c:v>
                </c:pt>
                <c:pt idx="31">
                  <c:v>131858.20526799999</c:v>
                </c:pt>
                <c:pt idx="32">
                  <c:v>117657.95535399999</c:v>
                </c:pt>
                <c:pt idx="33">
                  <c:v>135157.139238</c:v>
                </c:pt>
                <c:pt idx="34">
                  <c:v>140158.594568</c:v>
                </c:pt>
                <c:pt idx="35">
                  <c:v>139970.760939</c:v>
                </c:pt>
                <c:pt idx="36">
                  <c:v>130065.86710100001</c:v>
                </c:pt>
                <c:pt idx="37">
                  <c:v>143525.21527000002</c:v>
                </c:pt>
                <c:pt idx="38">
                  <c:v>188636.138351</c:v>
                </c:pt>
                <c:pt idx="39">
                  <c:v>143435.15091599998</c:v>
                </c:pt>
                <c:pt idx="40">
                  <c:v>154000.57752200001</c:v>
                </c:pt>
                <c:pt idx="41">
                  <c:v>147758</c:v>
                </c:pt>
                <c:pt idx="42">
                  <c:v>152092</c:v>
                </c:pt>
                <c:pt idx="43">
                  <c:v>137787</c:v>
                </c:pt>
                <c:pt idx="44">
                  <c:v>165269</c:v>
                </c:pt>
                <c:pt idx="45">
                  <c:v>178894</c:v>
                </c:pt>
                <c:pt idx="46">
                  <c:v>210482</c:v>
                </c:pt>
                <c:pt idx="47">
                  <c:v>216334</c:v>
                </c:pt>
                <c:pt idx="48">
                  <c:v>241707</c:v>
                </c:pt>
                <c:pt idx="49">
                  <c:v>274194</c:v>
                </c:pt>
                <c:pt idx="50">
                  <c:v>281083</c:v>
                </c:pt>
                <c:pt idx="51">
                  <c:v>293267</c:v>
                </c:pt>
                <c:pt idx="52">
                  <c:v>284443</c:v>
                </c:pt>
                <c:pt idx="53">
                  <c:v>262796</c:v>
                </c:pt>
                <c:pt idx="54">
                  <c:v>221316.14527199999</c:v>
                </c:pt>
                <c:pt idx="55">
                  <c:v>261562.41605199999</c:v>
                </c:pt>
                <c:pt idx="56">
                  <c:v>172923.06331599999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6-45C3-BD38-75E204FB0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995535"/>
        <c:axId val="482992623"/>
      </c:barChart>
      <c:lineChart>
        <c:grouping val="standard"/>
        <c:varyColors val="0"/>
        <c:ser>
          <c:idx val="1"/>
          <c:order val="1"/>
          <c:tx>
            <c:strRef>
              <c:f>DreamtowerCasino!$K$3:$K$4</c:f>
              <c:strCache>
                <c:ptCount val="2"/>
                <c:pt idx="0">
                  <c:v>카지노 순매출</c:v>
                </c:pt>
                <c:pt idx="1">
                  <c:v>총계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DreamtowerCasino!$B$5:$B$61</c:f>
              <c:numCache>
                <c:formatCode>mmm\-yy</c:formatCode>
                <c:ptCount val="57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45161</c:v>
                </c:pt>
                <c:pt idx="27">
                  <c:v>45199</c:v>
                </c:pt>
                <c:pt idx="28">
                  <c:v>45230</c:v>
                </c:pt>
                <c:pt idx="29">
                  <c:v>45260</c:v>
                </c:pt>
                <c:pt idx="30">
                  <c:v>45291</c:v>
                </c:pt>
                <c:pt idx="31">
                  <c:v>45322</c:v>
                </c:pt>
                <c:pt idx="32">
                  <c:v>45351</c:v>
                </c:pt>
                <c:pt idx="33">
                  <c:v>45382</c:v>
                </c:pt>
                <c:pt idx="34">
                  <c:v>45412</c:v>
                </c:pt>
                <c:pt idx="35">
                  <c:v>45443</c:v>
                </c:pt>
                <c:pt idx="36">
                  <c:v>45473</c:v>
                </c:pt>
                <c:pt idx="37">
                  <c:v>45504</c:v>
                </c:pt>
                <c:pt idx="38">
                  <c:v>45535</c:v>
                </c:pt>
                <c:pt idx="39">
                  <c:v>45565</c:v>
                </c:pt>
                <c:pt idx="40">
                  <c:v>45596</c:v>
                </c:pt>
                <c:pt idx="41">
                  <c:v>45626</c:v>
                </c:pt>
                <c:pt idx="42">
                  <c:v>45656</c:v>
                </c:pt>
                <c:pt idx="43">
                  <c:v>45688</c:v>
                </c:pt>
                <c:pt idx="44">
                  <c:v>45716</c:v>
                </c:pt>
                <c:pt idx="45">
                  <c:v>45741</c:v>
                </c:pt>
                <c:pt idx="46">
                  <c:v>45772</c:v>
                </c:pt>
                <c:pt idx="47">
                  <c:v>45802</c:v>
                </c:pt>
                <c:pt idx="48">
                  <c:v>45833</c:v>
                </c:pt>
                <c:pt idx="49">
                  <c:v>45863</c:v>
                </c:pt>
                <c:pt idx="50">
                  <c:v>45894</c:v>
                </c:pt>
                <c:pt idx="51">
                  <c:v>45925</c:v>
                </c:pt>
                <c:pt idx="52">
                  <c:v>45955</c:v>
                </c:pt>
                <c:pt idx="53">
                  <c:v>45986</c:v>
                </c:pt>
                <c:pt idx="54">
                  <c:v>46016</c:v>
                </c:pt>
                <c:pt idx="55">
                  <c:v>46023</c:v>
                </c:pt>
                <c:pt idx="56">
                  <c:v>46054</c:v>
                </c:pt>
              </c:numCache>
            </c:numRef>
          </c:cat>
          <c:val>
            <c:numRef>
              <c:f>DreamtowerCasino!$K$5:$K$61</c:f>
              <c:numCache>
                <c:formatCode>_(* #,##0_);_(* \(#,##0\);_(* "-"_);_(@_)</c:formatCode>
                <c:ptCount val="57"/>
                <c:pt idx="0">
                  <c:v>3048</c:v>
                </c:pt>
                <c:pt idx="1">
                  <c:v>968</c:v>
                </c:pt>
                <c:pt idx="2">
                  <c:v>4487</c:v>
                </c:pt>
                <c:pt idx="3">
                  <c:v>2703</c:v>
                </c:pt>
                <c:pt idx="4">
                  <c:v>2069</c:v>
                </c:pt>
                <c:pt idx="5">
                  <c:v>1851</c:v>
                </c:pt>
                <c:pt idx="6">
                  <c:v>5902</c:v>
                </c:pt>
                <c:pt idx="7">
                  <c:v>940</c:v>
                </c:pt>
                <c:pt idx="8">
                  <c:v>2596</c:v>
                </c:pt>
                <c:pt idx="9">
                  <c:v>8753</c:v>
                </c:pt>
                <c:pt idx="10">
                  <c:v>2125</c:v>
                </c:pt>
                <c:pt idx="11">
                  <c:v>4057</c:v>
                </c:pt>
                <c:pt idx="12">
                  <c:v>6052</c:v>
                </c:pt>
                <c:pt idx="13">
                  <c:v>3261</c:v>
                </c:pt>
                <c:pt idx="14">
                  <c:v>3954</c:v>
                </c:pt>
                <c:pt idx="15">
                  <c:v>3286</c:v>
                </c:pt>
                <c:pt idx="16">
                  <c:v>3270</c:v>
                </c:pt>
                <c:pt idx="17">
                  <c:v>3300</c:v>
                </c:pt>
                <c:pt idx="18">
                  <c:v>2085</c:v>
                </c:pt>
                <c:pt idx="19">
                  <c:v>6492.5202420000005</c:v>
                </c:pt>
                <c:pt idx="20">
                  <c:v>3750.9791319999999</c:v>
                </c:pt>
                <c:pt idx="21">
                  <c:v>6113.7878140000003</c:v>
                </c:pt>
                <c:pt idx="22">
                  <c:v>9955.2887050000008</c:v>
                </c:pt>
                <c:pt idx="23">
                  <c:v>11419.491841999999</c:v>
                </c:pt>
                <c:pt idx="24">
                  <c:v>10298.724787000001</c:v>
                </c:pt>
                <c:pt idx="25">
                  <c:v>20090.361540999998</c:v>
                </c:pt>
                <c:pt idx="26">
                  <c:v>17905.628221999999</c:v>
                </c:pt>
                <c:pt idx="27">
                  <c:v>14327.106267000001</c:v>
                </c:pt>
                <c:pt idx="28">
                  <c:v>19795.817832000001</c:v>
                </c:pt>
                <c:pt idx="29">
                  <c:v>17929.377570000001</c:v>
                </c:pt>
                <c:pt idx="30">
                  <c:v>14339.663721000001</c:v>
                </c:pt>
                <c:pt idx="31">
                  <c:v>23878.225665000002</c:v>
                </c:pt>
                <c:pt idx="32">
                  <c:v>23943.991439000001</c:v>
                </c:pt>
                <c:pt idx="33">
                  <c:v>22185.882819999999</c:v>
                </c:pt>
                <c:pt idx="34">
                  <c:v>20392.012737999998</c:v>
                </c:pt>
                <c:pt idx="35">
                  <c:v>27111.818106999999</c:v>
                </c:pt>
                <c:pt idx="36">
                  <c:v>19034.718196000002</c:v>
                </c:pt>
                <c:pt idx="37">
                  <c:v>22852.943487999997</c:v>
                </c:pt>
                <c:pt idx="38">
                  <c:v>32949.950325320002</c:v>
                </c:pt>
                <c:pt idx="39">
                  <c:v>28422.464123000002</c:v>
                </c:pt>
                <c:pt idx="40">
                  <c:v>24200.262740668713</c:v>
                </c:pt>
                <c:pt idx="41">
                  <c:v>26081</c:v>
                </c:pt>
                <c:pt idx="42">
                  <c:v>23599</c:v>
                </c:pt>
                <c:pt idx="43">
                  <c:v>29423</c:v>
                </c:pt>
                <c:pt idx="44">
                  <c:v>22617</c:v>
                </c:pt>
                <c:pt idx="45">
                  <c:v>32505</c:v>
                </c:pt>
                <c:pt idx="46">
                  <c:v>32880</c:v>
                </c:pt>
                <c:pt idx="47">
                  <c:v>41360</c:v>
                </c:pt>
                <c:pt idx="48">
                  <c:v>35799</c:v>
                </c:pt>
                <c:pt idx="49">
                  <c:v>43413</c:v>
                </c:pt>
                <c:pt idx="50">
                  <c:v>42988</c:v>
                </c:pt>
                <c:pt idx="51">
                  <c:v>52948</c:v>
                </c:pt>
                <c:pt idx="52">
                  <c:v>50387</c:v>
                </c:pt>
                <c:pt idx="53">
                  <c:v>51330</c:v>
                </c:pt>
                <c:pt idx="54">
                  <c:v>41005.846710999998</c:v>
                </c:pt>
                <c:pt idx="55">
                  <c:v>45597.459080000001</c:v>
                </c:pt>
                <c:pt idx="56">
                  <c:v>32632.347948067483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6-45C3-BD38-75E204FB094E}"/>
            </c:ext>
          </c:extLst>
        </c:ser>
        <c:ser>
          <c:idx val="2"/>
          <c:order val="2"/>
          <c:tx>
            <c:strRef>
              <c:f>DreamtowerCasino!$L$3:$L$4</c:f>
              <c:strCache>
                <c:ptCount val="2"/>
                <c:pt idx="0">
                  <c:v>카지노
방문객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DreamtowerCasino!$B$5:$B$61</c:f>
              <c:numCache>
                <c:formatCode>mmm\-yy</c:formatCode>
                <c:ptCount val="57"/>
                <c:pt idx="0">
                  <c:v>44348</c:v>
                </c:pt>
                <c:pt idx="1">
                  <c:v>44378</c:v>
                </c:pt>
                <c:pt idx="2">
                  <c:v>44409</c:v>
                </c:pt>
                <c:pt idx="3">
                  <c:v>44440</c:v>
                </c:pt>
                <c:pt idx="4">
                  <c:v>44470</c:v>
                </c:pt>
                <c:pt idx="5">
                  <c:v>44501</c:v>
                </c:pt>
                <c:pt idx="6">
                  <c:v>44531</c:v>
                </c:pt>
                <c:pt idx="7">
                  <c:v>44562</c:v>
                </c:pt>
                <c:pt idx="8">
                  <c:v>44593</c:v>
                </c:pt>
                <c:pt idx="9">
                  <c:v>44621</c:v>
                </c:pt>
                <c:pt idx="10">
                  <c:v>44652</c:v>
                </c:pt>
                <c:pt idx="11">
                  <c:v>44682</c:v>
                </c:pt>
                <c:pt idx="12">
                  <c:v>44713</c:v>
                </c:pt>
                <c:pt idx="13">
                  <c:v>44743</c:v>
                </c:pt>
                <c:pt idx="14">
                  <c:v>44774</c:v>
                </c:pt>
                <c:pt idx="15">
                  <c:v>44805</c:v>
                </c:pt>
                <c:pt idx="16">
                  <c:v>44835</c:v>
                </c:pt>
                <c:pt idx="17">
                  <c:v>44866</c:v>
                </c:pt>
                <c:pt idx="18">
                  <c:v>44896</c:v>
                </c:pt>
                <c:pt idx="19">
                  <c:v>44927</c:v>
                </c:pt>
                <c:pt idx="20">
                  <c:v>44958</c:v>
                </c:pt>
                <c:pt idx="21">
                  <c:v>44986</c:v>
                </c:pt>
                <c:pt idx="22">
                  <c:v>45017</c:v>
                </c:pt>
                <c:pt idx="23">
                  <c:v>45047</c:v>
                </c:pt>
                <c:pt idx="24">
                  <c:v>45078</c:v>
                </c:pt>
                <c:pt idx="25">
                  <c:v>45108</c:v>
                </c:pt>
                <c:pt idx="26">
                  <c:v>45161</c:v>
                </c:pt>
                <c:pt idx="27">
                  <c:v>45199</c:v>
                </c:pt>
                <c:pt idx="28">
                  <c:v>45230</c:v>
                </c:pt>
                <c:pt idx="29">
                  <c:v>45260</c:v>
                </c:pt>
                <c:pt idx="30">
                  <c:v>45291</c:v>
                </c:pt>
                <c:pt idx="31">
                  <c:v>45322</c:v>
                </c:pt>
                <c:pt idx="32">
                  <c:v>45351</c:v>
                </c:pt>
                <c:pt idx="33">
                  <c:v>45382</c:v>
                </c:pt>
                <c:pt idx="34">
                  <c:v>45412</c:v>
                </c:pt>
                <c:pt idx="35">
                  <c:v>45443</c:v>
                </c:pt>
                <c:pt idx="36">
                  <c:v>45473</c:v>
                </c:pt>
                <c:pt idx="37">
                  <c:v>45504</c:v>
                </c:pt>
                <c:pt idx="38">
                  <c:v>45535</c:v>
                </c:pt>
                <c:pt idx="39">
                  <c:v>45565</c:v>
                </c:pt>
                <c:pt idx="40">
                  <c:v>45596</c:v>
                </c:pt>
                <c:pt idx="41">
                  <c:v>45626</c:v>
                </c:pt>
                <c:pt idx="42">
                  <c:v>45656</c:v>
                </c:pt>
                <c:pt idx="43">
                  <c:v>45688</c:v>
                </c:pt>
                <c:pt idx="44">
                  <c:v>45716</c:v>
                </c:pt>
                <c:pt idx="45">
                  <c:v>45741</c:v>
                </c:pt>
                <c:pt idx="46">
                  <c:v>45772</c:v>
                </c:pt>
                <c:pt idx="47">
                  <c:v>45802</c:v>
                </c:pt>
                <c:pt idx="48">
                  <c:v>45833</c:v>
                </c:pt>
                <c:pt idx="49">
                  <c:v>45863</c:v>
                </c:pt>
                <c:pt idx="50">
                  <c:v>45894</c:v>
                </c:pt>
                <c:pt idx="51">
                  <c:v>45925</c:v>
                </c:pt>
                <c:pt idx="52">
                  <c:v>45955</c:v>
                </c:pt>
                <c:pt idx="53">
                  <c:v>45986</c:v>
                </c:pt>
                <c:pt idx="54">
                  <c:v>46016</c:v>
                </c:pt>
                <c:pt idx="55">
                  <c:v>46023</c:v>
                </c:pt>
                <c:pt idx="56">
                  <c:v>46054</c:v>
                </c:pt>
              </c:numCache>
            </c:numRef>
          </c:cat>
          <c:val>
            <c:numRef>
              <c:f>DreamtowerCasino!$L$5:$L$61</c:f>
              <c:numCache>
                <c:formatCode>_(* #,##0_);_(* \(#,##0\);_(* "-"_);_(@_)</c:formatCode>
                <c:ptCount val="57"/>
                <c:pt idx="0">
                  <c:v>6940</c:v>
                </c:pt>
                <c:pt idx="1">
                  <c:v>8996</c:v>
                </c:pt>
                <c:pt idx="2">
                  <c:v>7513</c:v>
                </c:pt>
                <c:pt idx="3">
                  <c:v>6228</c:v>
                </c:pt>
                <c:pt idx="4">
                  <c:v>8072</c:v>
                </c:pt>
                <c:pt idx="5">
                  <c:v>7201</c:v>
                </c:pt>
                <c:pt idx="6">
                  <c:v>4997</c:v>
                </c:pt>
                <c:pt idx="7">
                  <c:v>5207</c:v>
                </c:pt>
                <c:pt idx="8">
                  <c:v>4699</c:v>
                </c:pt>
                <c:pt idx="9">
                  <c:v>4399</c:v>
                </c:pt>
                <c:pt idx="10">
                  <c:v>5070</c:v>
                </c:pt>
                <c:pt idx="11">
                  <c:v>7142</c:v>
                </c:pt>
                <c:pt idx="12">
                  <c:v>7491</c:v>
                </c:pt>
                <c:pt idx="13">
                  <c:v>7734</c:v>
                </c:pt>
                <c:pt idx="14">
                  <c:v>8657</c:v>
                </c:pt>
                <c:pt idx="15">
                  <c:v>8468</c:v>
                </c:pt>
                <c:pt idx="16">
                  <c:v>9067</c:v>
                </c:pt>
                <c:pt idx="17">
                  <c:v>13105</c:v>
                </c:pt>
                <c:pt idx="18">
                  <c:v>13184</c:v>
                </c:pt>
                <c:pt idx="19">
                  <c:v>10633</c:v>
                </c:pt>
                <c:pt idx="20">
                  <c:v>8656</c:v>
                </c:pt>
                <c:pt idx="21">
                  <c:v>13401</c:v>
                </c:pt>
                <c:pt idx="22">
                  <c:v>18717</c:v>
                </c:pt>
                <c:pt idx="23">
                  <c:v>21866</c:v>
                </c:pt>
                <c:pt idx="24">
                  <c:v>22251</c:v>
                </c:pt>
                <c:pt idx="25">
                  <c:v>27005</c:v>
                </c:pt>
                <c:pt idx="26">
                  <c:v>28718</c:v>
                </c:pt>
                <c:pt idx="27">
                  <c:v>28165</c:v>
                </c:pt>
                <c:pt idx="28">
                  <c:v>30582</c:v>
                </c:pt>
                <c:pt idx="29">
                  <c:v>28547</c:v>
                </c:pt>
                <c:pt idx="30">
                  <c:v>28328</c:v>
                </c:pt>
                <c:pt idx="31">
                  <c:v>26245</c:v>
                </c:pt>
                <c:pt idx="32">
                  <c:v>25328</c:v>
                </c:pt>
                <c:pt idx="33">
                  <c:v>27679</c:v>
                </c:pt>
                <c:pt idx="34">
                  <c:v>28134</c:v>
                </c:pt>
                <c:pt idx="35">
                  <c:v>29745</c:v>
                </c:pt>
                <c:pt idx="36">
                  <c:v>28794</c:v>
                </c:pt>
                <c:pt idx="37">
                  <c:v>34275</c:v>
                </c:pt>
                <c:pt idx="38">
                  <c:v>37494</c:v>
                </c:pt>
                <c:pt idx="39">
                  <c:v>35764</c:v>
                </c:pt>
                <c:pt idx="40">
                  <c:v>37312</c:v>
                </c:pt>
                <c:pt idx="41">
                  <c:v>35812</c:v>
                </c:pt>
                <c:pt idx="42">
                  <c:v>36490</c:v>
                </c:pt>
                <c:pt idx="43">
                  <c:v>33863</c:v>
                </c:pt>
                <c:pt idx="44">
                  <c:v>35087</c:v>
                </c:pt>
                <c:pt idx="45">
                  <c:v>40681</c:v>
                </c:pt>
                <c:pt idx="46">
                  <c:v>45753</c:v>
                </c:pt>
                <c:pt idx="47">
                  <c:v>51207</c:v>
                </c:pt>
                <c:pt idx="48">
                  <c:v>51515</c:v>
                </c:pt>
                <c:pt idx="49">
                  <c:v>56691</c:v>
                </c:pt>
                <c:pt idx="50">
                  <c:v>57042</c:v>
                </c:pt>
                <c:pt idx="51">
                  <c:v>59050</c:v>
                </c:pt>
                <c:pt idx="52">
                  <c:v>58166</c:v>
                </c:pt>
                <c:pt idx="53">
                  <c:v>50620</c:v>
                </c:pt>
                <c:pt idx="54">
                  <c:v>50657</c:v>
                </c:pt>
                <c:pt idx="55">
                  <c:v>53052</c:v>
                </c:pt>
                <c:pt idx="56">
                  <c:v>43914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6-45C3-BD38-75E204FB0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995535"/>
        <c:axId val="482992623"/>
      </c:lineChart>
      <c:dateAx>
        <c:axId val="4829955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2992623"/>
        <c:crosses val="autoZero"/>
        <c:auto val="1"/>
        <c:lblOffset val="100"/>
        <c:baseTimeUnit val="days"/>
      </c:dateAx>
      <c:valAx>
        <c:axId val="4829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299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010495344594502"/>
          <c:y val="0.94515170673478388"/>
          <c:w val="0.67568818949580089"/>
          <c:h val="5.4071511410345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3861006</xdr:colOff>
      <xdr:row>0</xdr:row>
      <xdr:rowOff>68580</xdr:rowOff>
    </xdr:from>
    <xdr:to>
      <xdr:col>7</xdr:col>
      <xdr:colOff>11858</xdr:colOff>
      <xdr:row>2</xdr:row>
      <xdr:rowOff>55656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D11A476-947B-4851-9384-DBF6DA92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5566" y="68580"/>
          <a:ext cx="1233392" cy="352836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0</xdr:row>
      <xdr:rowOff>83820</xdr:rowOff>
    </xdr:from>
    <xdr:to>
      <xdr:col>4</xdr:col>
      <xdr:colOff>170526</xdr:colOff>
      <xdr:row>2</xdr:row>
      <xdr:rowOff>84061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204B70-F363-4AF9-B344-9E90B2F9A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" y="83820"/>
          <a:ext cx="1648806" cy="366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325951</xdr:colOff>
      <xdr:row>23</xdr:row>
      <xdr:rowOff>69280</xdr:rowOff>
    </xdr:from>
    <xdr:to>
      <xdr:col>44</xdr:col>
      <xdr:colOff>302558</xdr:colOff>
      <xdr:row>63</xdr:row>
      <xdr:rowOff>123701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6"/>
  <sheetViews>
    <sheetView showGridLines="0" workbookViewId="0">
      <selection activeCell="F11" sqref="F11"/>
    </sheetView>
  </sheetViews>
  <sheetFormatPr defaultColWidth="8.875" defaultRowHeight="16.5"/>
  <cols>
    <col min="1" max="1" width="8.875" style="16"/>
    <col min="2" max="2" width="1.875" style="16" customWidth="1"/>
    <col min="3" max="3" width="3.5" style="16" customWidth="1"/>
    <col min="4" max="5" width="8.875" style="16"/>
    <col min="6" max="6" width="69.5" style="16" customWidth="1"/>
    <col min="7" max="7" width="4.625" style="16" customWidth="1"/>
    <col min="8" max="16384" width="8.875" style="16"/>
  </cols>
  <sheetData>
    <row r="4" spans="2:7" ht="21" thickBot="1">
      <c r="B4" s="103" t="s">
        <v>7</v>
      </c>
      <c r="C4" s="103"/>
      <c r="D4" s="103"/>
      <c r="E4" s="103"/>
      <c r="F4" s="103"/>
      <c r="G4" s="103"/>
    </row>
    <row r="5" spans="2:7">
      <c r="B5" s="17"/>
      <c r="C5" s="17"/>
      <c r="D5" s="17"/>
      <c r="E5" s="17"/>
      <c r="F5" s="17"/>
      <c r="G5" s="17"/>
    </row>
    <row r="6" spans="2:7" ht="175.5" customHeight="1">
      <c r="B6" s="19"/>
      <c r="C6" s="18"/>
      <c r="D6" s="104" t="s">
        <v>10</v>
      </c>
      <c r="E6" s="105"/>
      <c r="F6" s="105"/>
      <c r="G6" s="17"/>
    </row>
  </sheetData>
  <mergeCells count="2">
    <mergeCell ref="B4:G4"/>
    <mergeCell ref="D6:F6"/>
  </mergeCells>
  <phoneticPr fontId="8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Z67"/>
  <sheetViews>
    <sheetView showGridLines="0" tabSelected="1" zoomScale="85" zoomScaleNormal="85" workbookViewId="0">
      <pane xSplit="2" ySplit="4" topLeftCell="R27" activePane="bottomRight" state="frozen"/>
      <selection pane="topRight" activeCell="C1" sqref="C1"/>
      <selection pane="bottomLeft" activeCell="A5" sqref="A5"/>
      <selection pane="bottomRight" activeCell="Z66" sqref="Z66"/>
    </sheetView>
  </sheetViews>
  <sheetFormatPr defaultColWidth="9" defaultRowHeight="14.25"/>
  <cols>
    <col min="1" max="1" width="1.875" style="13" customWidth="1"/>
    <col min="2" max="2" width="9.125" style="13" bestFit="1" customWidth="1"/>
    <col min="3" max="8" width="9.75" style="13" customWidth="1"/>
    <col min="9" max="10" width="10.5" style="13" customWidth="1"/>
    <col min="11" max="12" width="10.5" style="14" customWidth="1"/>
    <col min="13" max="16384" width="9" style="13"/>
  </cols>
  <sheetData>
    <row r="2" spans="2:26">
      <c r="H2" s="32" t="s">
        <v>15</v>
      </c>
      <c r="M2" s="15" t="s">
        <v>8</v>
      </c>
      <c r="O2" s="26" t="s">
        <v>12</v>
      </c>
      <c r="X2" s="14"/>
      <c r="Z2" s="15" t="s">
        <v>8</v>
      </c>
    </row>
    <row r="3" spans="2:26">
      <c r="B3" s="108" t="s">
        <v>6</v>
      </c>
      <c r="C3" s="33" t="s">
        <v>5</v>
      </c>
      <c r="D3" s="34"/>
      <c r="E3" s="35"/>
      <c r="F3" s="33" t="s">
        <v>13</v>
      </c>
      <c r="G3" s="34"/>
      <c r="H3" s="35"/>
      <c r="I3" s="33" t="s">
        <v>0</v>
      </c>
      <c r="J3" s="34"/>
      <c r="K3" s="35"/>
      <c r="L3" s="106" t="s">
        <v>9</v>
      </c>
      <c r="M3" s="106" t="s">
        <v>11</v>
      </c>
      <c r="O3" s="108" t="s">
        <v>6</v>
      </c>
      <c r="P3" s="33" t="s">
        <v>5</v>
      </c>
      <c r="Q3" s="34"/>
      <c r="R3" s="35"/>
      <c r="S3" s="33" t="s">
        <v>4</v>
      </c>
      <c r="T3" s="34"/>
      <c r="U3" s="34"/>
      <c r="V3" s="33" t="s">
        <v>0</v>
      </c>
      <c r="W3" s="34"/>
      <c r="X3" s="35"/>
      <c r="Y3" s="106" t="s">
        <v>9</v>
      </c>
      <c r="Z3" s="106" t="s">
        <v>11</v>
      </c>
    </row>
    <row r="4" spans="2:26">
      <c r="B4" s="109"/>
      <c r="C4" s="20" t="s">
        <v>1</v>
      </c>
      <c r="D4" s="21" t="s">
        <v>2</v>
      </c>
      <c r="E4" s="21" t="s">
        <v>3</v>
      </c>
      <c r="F4" s="20" t="s">
        <v>1</v>
      </c>
      <c r="G4" s="21" t="s">
        <v>2</v>
      </c>
      <c r="H4" s="36" t="s">
        <v>14</v>
      </c>
      <c r="I4" s="20" t="s">
        <v>1</v>
      </c>
      <c r="J4" s="21" t="s">
        <v>2</v>
      </c>
      <c r="K4" s="22" t="s">
        <v>3</v>
      </c>
      <c r="L4" s="107"/>
      <c r="M4" s="107"/>
      <c r="O4" s="109"/>
      <c r="P4" s="20" t="s">
        <v>1</v>
      </c>
      <c r="Q4" s="21" t="s">
        <v>2</v>
      </c>
      <c r="R4" s="21" t="s">
        <v>3</v>
      </c>
      <c r="S4" s="20" t="s">
        <v>1</v>
      </c>
      <c r="T4" s="21" t="s">
        <v>2</v>
      </c>
      <c r="U4" s="21" t="s">
        <v>3</v>
      </c>
      <c r="V4" s="20" t="s">
        <v>1</v>
      </c>
      <c r="W4" s="21" t="s">
        <v>2</v>
      </c>
      <c r="X4" s="22" t="s">
        <v>3</v>
      </c>
      <c r="Y4" s="107"/>
      <c r="Z4" s="107"/>
    </row>
    <row r="5" spans="2:26">
      <c r="B5" s="23">
        <v>44348</v>
      </c>
      <c r="C5" s="1">
        <v>21080</v>
      </c>
      <c r="D5" s="2">
        <v>3349</v>
      </c>
      <c r="E5" s="37">
        <v>24429</v>
      </c>
      <c r="F5" s="3">
        <v>0.14199999999999999</v>
      </c>
      <c r="G5" s="29">
        <v>1.4999999999999999E-2</v>
      </c>
      <c r="H5" s="40">
        <f>K5/E5</f>
        <v>0.12476974088173892</v>
      </c>
      <c r="I5" s="1">
        <v>2999</v>
      </c>
      <c r="J5" s="2">
        <v>50</v>
      </c>
      <c r="K5" s="37">
        <v>3048</v>
      </c>
      <c r="L5" s="4">
        <v>6940</v>
      </c>
      <c r="M5" s="43"/>
      <c r="O5" s="23">
        <v>44348</v>
      </c>
      <c r="P5" s="46"/>
      <c r="Q5" s="47"/>
      <c r="R5" s="48"/>
      <c r="S5" s="49"/>
      <c r="T5" s="50"/>
      <c r="U5" s="51"/>
      <c r="V5" s="52"/>
      <c r="W5" s="47"/>
      <c r="X5" s="48"/>
      <c r="Y5" s="53"/>
      <c r="Z5" s="54"/>
    </row>
    <row r="6" spans="2:26">
      <c r="B6" s="24">
        <v>44378</v>
      </c>
      <c r="C6" s="5">
        <v>30180</v>
      </c>
      <c r="D6" s="6">
        <v>4391</v>
      </c>
      <c r="E6" s="38">
        <v>34571</v>
      </c>
      <c r="F6" s="7">
        <v>1.6E-2</v>
      </c>
      <c r="G6" s="30">
        <v>0.109</v>
      </c>
      <c r="H6" s="41">
        <f t="shared" ref="H6:H32" si="0">K6/E6</f>
        <v>2.8000347111741056E-2</v>
      </c>
      <c r="I6" s="5">
        <v>488</v>
      </c>
      <c r="J6" s="6">
        <v>480</v>
      </c>
      <c r="K6" s="38">
        <v>968</v>
      </c>
      <c r="L6" s="8">
        <v>8996</v>
      </c>
      <c r="M6" s="43"/>
      <c r="O6" s="24">
        <v>44378</v>
      </c>
      <c r="P6" s="55"/>
      <c r="Q6" s="56"/>
      <c r="R6" s="57"/>
      <c r="S6" s="58"/>
      <c r="T6" s="59"/>
      <c r="U6" s="60"/>
      <c r="V6" s="61"/>
      <c r="W6" s="56"/>
      <c r="X6" s="57"/>
      <c r="Y6" s="62"/>
      <c r="Z6" s="63"/>
    </row>
    <row r="7" spans="2:26">
      <c r="B7" s="24">
        <v>44409</v>
      </c>
      <c r="C7" s="5">
        <v>25563</v>
      </c>
      <c r="D7" s="6">
        <v>4029</v>
      </c>
      <c r="E7" s="38">
        <v>29592</v>
      </c>
      <c r="F7" s="7">
        <v>0.159</v>
      </c>
      <c r="G7" s="30">
        <v>0.106</v>
      </c>
      <c r="H7" s="41">
        <f t="shared" si="0"/>
        <v>0.15162881859962152</v>
      </c>
      <c r="I7" s="5">
        <v>4058</v>
      </c>
      <c r="J7" s="6">
        <v>429</v>
      </c>
      <c r="K7" s="38">
        <v>4487</v>
      </c>
      <c r="L7" s="8">
        <v>7513</v>
      </c>
      <c r="M7" s="43"/>
      <c r="O7" s="24">
        <v>44409</v>
      </c>
      <c r="P7" s="55"/>
      <c r="Q7" s="56"/>
      <c r="R7" s="57"/>
      <c r="S7" s="58"/>
      <c r="T7" s="59"/>
      <c r="U7" s="60"/>
      <c r="V7" s="61"/>
      <c r="W7" s="56"/>
      <c r="X7" s="57"/>
      <c r="Y7" s="62"/>
      <c r="Z7" s="63"/>
    </row>
    <row r="8" spans="2:26">
      <c r="B8" s="24">
        <v>44440</v>
      </c>
      <c r="C8" s="5">
        <v>15937</v>
      </c>
      <c r="D8" s="6">
        <v>2637</v>
      </c>
      <c r="E8" s="38">
        <v>18574</v>
      </c>
      <c r="F8" s="7">
        <v>0.16400000000000001</v>
      </c>
      <c r="G8" s="30">
        <v>3.1E-2</v>
      </c>
      <c r="H8" s="41">
        <f t="shared" si="0"/>
        <v>0.14552600409174116</v>
      </c>
      <c r="I8" s="5">
        <v>2621</v>
      </c>
      <c r="J8" s="6">
        <v>83</v>
      </c>
      <c r="K8" s="38">
        <v>2703</v>
      </c>
      <c r="L8" s="8">
        <v>6228</v>
      </c>
      <c r="M8" s="43"/>
      <c r="O8" s="24">
        <v>44440</v>
      </c>
      <c r="P8" s="55"/>
      <c r="Q8" s="56"/>
      <c r="R8" s="57"/>
      <c r="S8" s="58"/>
      <c r="T8" s="59"/>
      <c r="U8" s="60"/>
      <c r="V8" s="61"/>
      <c r="W8" s="56"/>
      <c r="X8" s="57"/>
      <c r="Y8" s="62"/>
      <c r="Z8" s="63"/>
    </row>
    <row r="9" spans="2:26">
      <c r="B9" s="24">
        <v>44470</v>
      </c>
      <c r="C9" s="5">
        <v>15678</v>
      </c>
      <c r="D9" s="6">
        <v>2569</v>
      </c>
      <c r="E9" s="38">
        <v>18247</v>
      </c>
      <c r="F9" s="7">
        <v>0.122</v>
      </c>
      <c r="G9" s="30">
        <v>6.0999999999999999E-2</v>
      </c>
      <c r="H9" s="41">
        <f t="shared" si="0"/>
        <v>0.11338850221954294</v>
      </c>
      <c r="I9" s="5">
        <v>1913</v>
      </c>
      <c r="J9" s="6">
        <v>156</v>
      </c>
      <c r="K9" s="38">
        <v>2069</v>
      </c>
      <c r="L9" s="8">
        <v>8072</v>
      </c>
      <c r="M9" s="43"/>
      <c r="O9" s="24">
        <v>44470</v>
      </c>
      <c r="P9" s="55"/>
      <c r="Q9" s="56"/>
      <c r="R9" s="57"/>
      <c r="S9" s="58"/>
      <c r="T9" s="59"/>
      <c r="U9" s="60"/>
      <c r="V9" s="61"/>
      <c r="W9" s="56"/>
      <c r="X9" s="57"/>
      <c r="Y9" s="62"/>
      <c r="Z9" s="63"/>
    </row>
    <row r="10" spans="2:26">
      <c r="B10" s="24">
        <v>44501</v>
      </c>
      <c r="C10" s="5">
        <v>21342</v>
      </c>
      <c r="D10" s="6">
        <v>2532</v>
      </c>
      <c r="E10" s="38">
        <v>23874</v>
      </c>
      <c r="F10" s="7">
        <v>7.6999999999999999E-2</v>
      </c>
      <c r="G10" s="30">
        <v>0.08</v>
      </c>
      <c r="H10" s="41">
        <f t="shared" si="0"/>
        <v>7.7532043226941447E-2</v>
      </c>
      <c r="I10" s="5">
        <v>1648</v>
      </c>
      <c r="J10" s="6">
        <v>204</v>
      </c>
      <c r="K10" s="38">
        <v>1851</v>
      </c>
      <c r="L10" s="8">
        <v>7201</v>
      </c>
      <c r="M10" s="43"/>
      <c r="O10" s="24">
        <v>44501</v>
      </c>
      <c r="P10" s="55"/>
      <c r="Q10" s="56"/>
      <c r="R10" s="57"/>
      <c r="S10" s="58"/>
      <c r="T10" s="59"/>
      <c r="U10" s="60"/>
      <c r="V10" s="61"/>
      <c r="W10" s="56"/>
      <c r="X10" s="57"/>
      <c r="Y10" s="62"/>
      <c r="Z10" s="63"/>
    </row>
    <row r="11" spans="2:26">
      <c r="B11" s="25">
        <v>44531</v>
      </c>
      <c r="C11" s="9">
        <v>25635</v>
      </c>
      <c r="D11" s="10">
        <v>2202</v>
      </c>
      <c r="E11" s="39">
        <v>27837</v>
      </c>
      <c r="F11" s="11">
        <v>0.222</v>
      </c>
      <c r="G11" s="31">
        <v>9.5000000000000001E-2</v>
      </c>
      <c r="H11" s="42">
        <f t="shared" si="0"/>
        <v>0.21201997341667564</v>
      </c>
      <c r="I11" s="9">
        <v>5694</v>
      </c>
      <c r="J11" s="10">
        <v>208</v>
      </c>
      <c r="K11" s="39">
        <v>5902</v>
      </c>
      <c r="L11" s="12">
        <v>4997</v>
      </c>
      <c r="M11" s="44"/>
      <c r="O11" s="25">
        <v>44531</v>
      </c>
      <c r="P11" s="64"/>
      <c r="Q11" s="65"/>
      <c r="R11" s="66"/>
      <c r="S11" s="67"/>
      <c r="T11" s="68"/>
      <c r="U11" s="69"/>
      <c r="V11" s="70"/>
      <c r="W11" s="65"/>
      <c r="X11" s="66"/>
      <c r="Y11" s="71"/>
      <c r="Z11" s="72"/>
    </row>
    <row r="12" spans="2:26">
      <c r="B12" s="24">
        <v>44562</v>
      </c>
      <c r="C12" s="5">
        <v>37145</v>
      </c>
      <c r="D12" s="6">
        <v>3649</v>
      </c>
      <c r="E12" s="38">
        <v>40795</v>
      </c>
      <c r="F12" s="7">
        <v>1.7999999999999999E-2</v>
      </c>
      <c r="G12" s="30">
        <v>7.9000000000000001E-2</v>
      </c>
      <c r="H12" s="40">
        <f t="shared" si="0"/>
        <v>2.3042039465620785E-2</v>
      </c>
      <c r="I12" s="5">
        <v>650</v>
      </c>
      <c r="J12" s="6">
        <v>290</v>
      </c>
      <c r="K12" s="38">
        <v>940</v>
      </c>
      <c r="L12" s="8">
        <v>5207</v>
      </c>
      <c r="M12" s="43"/>
      <c r="O12" s="27">
        <v>44562</v>
      </c>
      <c r="P12" s="46"/>
      <c r="Q12" s="73"/>
      <c r="R12" s="74"/>
      <c r="S12" s="46"/>
      <c r="T12" s="75"/>
      <c r="U12" s="76"/>
      <c r="V12" s="46"/>
      <c r="W12" s="73"/>
      <c r="X12" s="74"/>
      <c r="Y12" s="77"/>
      <c r="Z12" s="54"/>
    </row>
    <row r="13" spans="2:26">
      <c r="B13" s="24">
        <v>44593</v>
      </c>
      <c r="C13" s="5">
        <v>39835</v>
      </c>
      <c r="D13" s="6">
        <v>3483</v>
      </c>
      <c r="E13" s="38">
        <v>43318</v>
      </c>
      <c r="F13" s="7">
        <v>5.8000000000000003E-2</v>
      </c>
      <c r="G13" s="30">
        <v>8.5000000000000006E-2</v>
      </c>
      <c r="H13" s="41">
        <f t="shared" si="0"/>
        <v>5.9928897917724731E-2</v>
      </c>
      <c r="I13" s="5">
        <v>2301</v>
      </c>
      <c r="J13" s="6">
        <v>295</v>
      </c>
      <c r="K13" s="38">
        <v>2596</v>
      </c>
      <c r="L13" s="8">
        <v>4699</v>
      </c>
      <c r="M13" s="43"/>
      <c r="O13" s="24">
        <v>44593</v>
      </c>
      <c r="P13" s="55"/>
      <c r="Q13" s="56"/>
      <c r="R13" s="57"/>
      <c r="S13" s="55"/>
      <c r="T13" s="78"/>
      <c r="U13" s="79"/>
      <c r="V13" s="55"/>
      <c r="W13" s="56"/>
      <c r="X13" s="57"/>
      <c r="Y13" s="62"/>
      <c r="Z13" s="63"/>
    </row>
    <row r="14" spans="2:26">
      <c r="B14" s="24">
        <v>44621</v>
      </c>
      <c r="C14" s="5">
        <v>28373</v>
      </c>
      <c r="D14" s="6">
        <v>3160</v>
      </c>
      <c r="E14" s="38">
        <v>31532</v>
      </c>
      <c r="F14" s="7">
        <v>0.30599999999999999</v>
      </c>
      <c r="G14" s="30">
        <v>2.1000000000000001E-2</v>
      </c>
      <c r="H14" s="41">
        <f t="shared" si="0"/>
        <v>0.27759101864772295</v>
      </c>
      <c r="I14" s="5">
        <v>8686</v>
      </c>
      <c r="J14" s="6">
        <v>67</v>
      </c>
      <c r="K14" s="38">
        <v>8753</v>
      </c>
      <c r="L14" s="8">
        <v>4399</v>
      </c>
      <c r="M14" s="43"/>
      <c r="O14" s="24">
        <v>44621</v>
      </c>
      <c r="P14" s="55"/>
      <c r="Q14" s="56"/>
      <c r="R14" s="57"/>
      <c r="S14" s="55"/>
      <c r="T14" s="78"/>
      <c r="U14" s="79"/>
      <c r="V14" s="55"/>
      <c r="W14" s="56"/>
      <c r="X14" s="57"/>
      <c r="Y14" s="62"/>
      <c r="Z14" s="63"/>
    </row>
    <row r="15" spans="2:26">
      <c r="B15" s="24">
        <v>44652</v>
      </c>
      <c r="C15" s="5">
        <v>27292</v>
      </c>
      <c r="D15" s="6">
        <v>4681</v>
      </c>
      <c r="E15" s="38">
        <v>31974</v>
      </c>
      <c r="F15" s="7">
        <v>6.5000000000000002E-2</v>
      </c>
      <c r="G15" s="30">
        <v>7.5999999999999998E-2</v>
      </c>
      <c r="H15" s="41">
        <f t="shared" si="0"/>
        <v>6.6460248952273718E-2</v>
      </c>
      <c r="I15" s="5">
        <v>1769</v>
      </c>
      <c r="J15" s="6">
        <v>355</v>
      </c>
      <c r="K15" s="38">
        <v>2125</v>
      </c>
      <c r="L15" s="8">
        <v>5070</v>
      </c>
      <c r="M15" s="43">
        <v>9521</v>
      </c>
      <c r="O15" s="24">
        <v>44652</v>
      </c>
      <c r="P15" s="55"/>
      <c r="Q15" s="56"/>
      <c r="R15" s="57"/>
      <c r="S15" s="55"/>
      <c r="T15" s="78"/>
      <c r="U15" s="79"/>
      <c r="V15" s="55"/>
      <c r="W15" s="56"/>
      <c r="X15" s="57"/>
      <c r="Y15" s="62"/>
      <c r="Z15" s="63"/>
    </row>
    <row r="16" spans="2:26">
      <c r="B16" s="24">
        <v>44682</v>
      </c>
      <c r="C16" s="5">
        <v>28389</v>
      </c>
      <c r="D16" s="6">
        <v>4494</v>
      </c>
      <c r="E16" s="38">
        <v>32884</v>
      </c>
      <c r="F16" s="7">
        <v>0.128</v>
      </c>
      <c r="G16" s="30">
        <v>9.4E-2</v>
      </c>
      <c r="H16" s="41">
        <f t="shared" si="0"/>
        <v>0.12337306896971172</v>
      </c>
      <c r="I16" s="5">
        <v>3634</v>
      </c>
      <c r="J16" s="6">
        <v>424</v>
      </c>
      <c r="K16" s="38">
        <v>4057</v>
      </c>
      <c r="L16" s="8">
        <v>7142</v>
      </c>
      <c r="M16" s="43">
        <v>10958</v>
      </c>
      <c r="O16" s="24">
        <v>44682</v>
      </c>
      <c r="P16" s="55"/>
      <c r="Q16" s="56"/>
      <c r="R16" s="57"/>
      <c r="S16" s="55"/>
      <c r="T16" s="78"/>
      <c r="U16" s="79"/>
      <c r="V16" s="55"/>
      <c r="W16" s="56"/>
      <c r="X16" s="57"/>
      <c r="Y16" s="62"/>
      <c r="Z16" s="63"/>
    </row>
    <row r="17" spans="2:26">
      <c r="B17" s="24">
        <v>44713</v>
      </c>
      <c r="C17" s="5">
        <v>26917</v>
      </c>
      <c r="D17" s="6">
        <v>5774</v>
      </c>
      <c r="E17" s="38">
        <v>32691</v>
      </c>
      <c r="F17" s="7">
        <v>0.20599999999999999</v>
      </c>
      <c r="G17" s="30">
        <v>0.09</v>
      </c>
      <c r="H17" s="41">
        <f t="shared" si="0"/>
        <v>0.18512740509620385</v>
      </c>
      <c r="I17" s="5">
        <v>5532</v>
      </c>
      <c r="J17" s="6">
        <v>520</v>
      </c>
      <c r="K17" s="38">
        <v>6052</v>
      </c>
      <c r="L17" s="8">
        <v>7491</v>
      </c>
      <c r="M17" s="43">
        <v>10562</v>
      </c>
      <c r="O17" s="24">
        <v>44713</v>
      </c>
      <c r="P17" s="55">
        <f>IF(AND(C5&lt;=0,C17&gt;0),"흑전",IF(AND(C5&lt;=0,C17&lt;=0),"적지",IF(AND(C5&gt;0,C17&lt;=0),"적전",C17/C5-1)))</f>
        <v>0.27689753320683108</v>
      </c>
      <c r="Q17" s="78">
        <f t="shared" ref="Q17:Y17" si="1">IF(AND(D5&lt;=0,D17&gt;0),"흑전",IF(AND(D5&lt;=0,D17&lt;=0),"적지",IF(AND(D5&gt;0,D17&lt;=0),"적전",D17/D5-1)))</f>
        <v>0.72409674529710366</v>
      </c>
      <c r="R17" s="80">
        <f t="shared" si="1"/>
        <v>0.33820459290187888</v>
      </c>
      <c r="S17" s="55">
        <f t="shared" si="1"/>
        <v>0.45070422535211274</v>
      </c>
      <c r="T17" s="78">
        <f t="shared" si="1"/>
        <v>5</v>
      </c>
      <c r="U17" s="80">
        <f t="shared" si="1"/>
        <v>0.48375242096298021</v>
      </c>
      <c r="V17" s="55">
        <f t="shared" si="1"/>
        <v>0.84461487162387461</v>
      </c>
      <c r="W17" s="78">
        <f t="shared" si="1"/>
        <v>9.4</v>
      </c>
      <c r="X17" s="80">
        <f t="shared" si="1"/>
        <v>0.98556430446194221</v>
      </c>
      <c r="Y17" s="55">
        <f t="shared" si="1"/>
        <v>7.9394812680115168E-2</v>
      </c>
      <c r="Z17" s="81"/>
    </row>
    <row r="18" spans="2:26">
      <c r="B18" s="24">
        <v>44743</v>
      </c>
      <c r="C18" s="5">
        <v>24597</v>
      </c>
      <c r="D18" s="6">
        <v>6486</v>
      </c>
      <c r="E18" s="38">
        <v>31084</v>
      </c>
      <c r="F18" s="7">
        <v>0.108</v>
      </c>
      <c r="G18" s="30">
        <v>9.0999999999999998E-2</v>
      </c>
      <c r="H18" s="41">
        <f t="shared" si="0"/>
        <v>0.10490927808518852</v>
      </c>
      <c r="I18" s="5">
        <v>2668</v>
      </c>
      <c r="J18" s="6">
        <v>593</v>
      </c>
      <c r="K18" s="38">
        <v>3261</v>
      </c>
      <c r="L18" s="8">
        <v>7734</v>
      </c>
      <c r="M18" s="43">
        <v>11240</v>
      </c>
      <c r="O18" s="24">
        <v>44743</v>
      </c>
      <c r="P18" s="55">
        <f t="shared" ref="P18:Y18" si="2">IF(AND(C6&lt;=0,C18&gt;0),"흑전",IF(AND(C6&lt;=0,C18&lt;=0),"적지",IF(AND(C6&gt;0,C18&lt;=0),"적전",C18/C6-1)))</f>
        <v>-0.1849900596421471</v>
      </c>
      <c r="Q18" s="78">
        <f t="shared" si="2"/>
        <v>0.47711227510817578</v>
      </c>
      <c r="R18" s="80">
        <f t="shared" si="2"/>
        <v>-0.10086488675479444</v>
      </c>
      <c r="S18" s="55">
        <f t="shared" si="2"/>
        <v>5.75</v>
      </c>
      <c r="T18" s="78">
        <f t="shared" si="2"/>
        <v>-0.16513761467889909</v>
      </c>
      <c r="U18" s="80">
        <f t="shared" si="2"/>
        <v>2.7467134841767069</v>
      </c>
      <c r="V18" s="55">
        <f t="shared" si="2"/>
        <v>4.4672131147540988</v>
      </c>
      <c r="W18" s="78">
        <f t="shared" si="2"/>
        <v>0.23541666666666661</v>
      </c>
      <c r="X18" s="80">
        <f t="shared" si="2"/>
        <v>2.3688016528925622</v>
      </c>
      <c r="Y18" s="55">
        <f t="shared" si="2"/>
        <v>-0.14028457092040902</v>
      </c>
      <c r="Z18" s="81"/>
    </row>
    <row r="19" spans="2:26">
      <c r="B19" s="24">
        <v>44774</v>
      </c>
      <c r="C19" s="5">
        <v>42828</v>
      </c>
      <c r="D19" s="6">
        <v>8421</v>
      </c>
      <c r="E19" s="38">
        <v>51250</v>
      </c>
      <c r="F19" s="7">
        <v>7.8E-2</v>
      </c>
      <c r="G19" s="30">
        <v>7.3999999999999996E-2</v>
      </c>
      <c r="H19" s="41">
        <f t="shared" si="0"/>
        <v>7.7151219512195127E-2</v>
      </c>
      <c r="I19" s="5">
        <v>3331</v>
      </c>
      <c r="J19" s="6">
        <v>623</v>
      </c>
      <c r="K19" s="38">
        <v>3954</v>
      </c>
      <c r="L19" s="8">
        <v>8657</v>
      </c>
      <c r="M19" s="43">
        <v>11847</v>
      </c>
      <c r="O19" s="24">
        <v>44774</v>
      </c>
      <c r="P19" s="55">
        <f t="shared" ref="P19:Y19" si="3">IF(AND(C7&lt;=0,C19&gt;0),"흑전",IF(AND(C7&lt;=0,C19&lt;=0),"적지",IF(AND(C7&gt;0,C19&lt;=0),"적전",C19/C7-1)))</f>
        <v>0.67539021241638308</v>
      </c>
      <c r="Q19" s="78">
        <f t="shared" si="3"/>
        <v>1.0900967982129561</v>
      </c>
      <c r="R19" s="80">
        <f t="shared" si="3"/>
        <v>0.73188699648553657</v>
      </c>
      <c r="S19" s="55">
        <f t="shared" si="3"/>
        <v>-0.50943396226415094</v>
      </c>
      <c r="T19" s="78">
        <f t="shared" si="3"/>
        <v>-0.30188679245283023</v>
      </c>
      <c r="U19" s="80">
        <f t="shared" si="3"/>
        <v>-0.49118366663586399</v>
      </c>
      <c r="V19" s="55">
        <f t="shared" si="3"/>
        <v>-0.17915229176934455</v>
      </c>
      <c r="W19" s="78">
        <f t="shared" si="3"/>
        <v>0.45221445221445222</v>
      </c>
      <c r="X19" s="80">
        <f t="shared" si="3"/>
        <v>-0.11878760864720306</v>
      </c>
      <c r="Y19" s="55">
        <f t="shared" si="3"/>
        <v>0.15226939970717424</v>
      </c>
      <c r="Z19" s="81"/>
    </row>
    <row r="20" spans="2:26">
      <c r="B20" s="24">
        <v>44805</v>
      </c>
      <c r="C20" s="5">
        <v>61863</v>
      </c>
      <c r="D20" s="6">
        <v>7274</v>
      </c>
      <c r="E20" s="38">
        <v>69137</v>
      </c>
      <c r="F20" s="7">
        <v>4.5999999999999999E-2</v>
      </c>
      <c r="G20" s="30">
        <v>5.7000000000000002E-2</v>
      </c>
      <c r="H20" s="41">
        <f t="shared" si="0"/>
        <v>4.7528819590089241E-2</v>
      </c>
      <c r="I20" s="5">
        <v>2868</v>
      </c>
      <c r="J20" s="6">
        <v>417</v>
      </c>
      <c r="K20" s="38">
        <v>3286</v>
      </c>
      <c r="L20" s="8">
        <v>8468</v>
      </c>
      <c r="M20" s="43">
        <v>8557</v>
      </c>
      <c r="O20" s="24">
        <v>44805</v>
      </c>
      <c r="P20" s="55">
        <f t="shared" ref="P20:Y20" si="4">IF(AND(C8&lt;=0,C20&gt;0),"흑전",IF(AND(C8&lt;=0,C20&lt;=0),"적지",IF(AND(C8&gt;0,C20&lt;=0),"적전",C20/C8-1)))</f>
        <v>2.8817217795068082</v>
      </c>
      <c r="Q20" s="78">
        <f t="shared" si="4"/>
        <v>1.7584376185058779</v>
      </c>
      <c r="R20" s="80">
        <f t="shared" si="4"/>
        <v>2.7222461505330031</v>
      </c>
      <c r="S20" s="55">
        <f t="shared" si="4"/>
        <v>-0.71951219512195119</v>
      </c>
      <c r="T20" s="78">
        <f t="shared" si="4"/>
        <v>0.83870967741935498</v>
      </c>
      <c r="U20" s="80">
        <f t="shared" si="4"/>
        <v>-0.67339981684560946</v>
      </c>
      <c r="V20" s="55">
        <f t="shared" si="4"/>
        <v>9.4238840137352176E-2</v>
      </c>
      <c r="W20" s="78">
        <f t="shared" si="4"/>
        <v>4.024096385542169</v>
      </c>
      <c r="X20" s="80">
        <f t="shared" si="4"/>
        <v>0.21568627450980382</v>
      </c>
      <c r="Y20" s="55">
        <f t="shared" si="4"/>
        <v>0.35966602440590889</v>
      </c>
      <c r="Z20" s="81"/>
    </row>
    <row r="21" spans="2:26">
      <c r="B21" s="24">
        <v>44835</v>
      </c>
      <c r="C21" s="5">
        <v>53979</v>
      </c>
      <c r="D21" s="6">
        <v>9243</v>
      </c>
      <c r="E21" s="38">
        <v>63222</v>
      </c>
      <c r="F21" s="7">
        <v>4.8000000000000001E-2</v>
      </c>
      <c r="G21" s="30">
        <v>7.2999999999999995E-2</v>
      </c>
      <c r="H21" s="41">
        <f t="shared" si="0"/>
        <v>5.1722501660814275E-2</v>
      </c>
      <c r="I21" s="5">
        <v>2600</v>
      </c>
      <c r="J21" s="6">
        <v>670</v>
      </c>
      <c r="K21" s="38">
        <v>3270</v>
      </c>
      <c r="L21" s="8">
        <v>9067</v>
      </c>
      <c r="M21" s="43">
        <v>10722</v>
      </c>
      <c r="O21" s="24">
        <v>44835</v>
      </c>
      <c r="P21" s="55">
        <f t="shared" ref="P21:Y21" si="5">IF(AND(C9&lt;=0,C21&gt;0),"흑전",IF(AND(C9&lt;=0,C21&lt;=0),"적지",IF(AND(C9&gt;0,C21&lt;=0),"적전",C21/C9-1)))</f>
        <v>2.4429774205893611</v>
      </c>
      <c r="Q21" s="78">
        <f t="shared" si="5"/>
        <v>2.5978980147917476</v>
      </c>
      <c r="R21" s="80">
        <f t="shared" si="5"/>
        <v>2.464788732394366</v>
      </c>
      <c r="S21" s="55">
        <f t="shared" si="5"/>
        <v>-0.60655737704918034</v>
      </c>
      <c r="T21" s="78">
        <f t="shared" si="5"/>
        <v>0.19672131147540983</v>
      </c>
      <c r="U21" s="80">
        <f t="shared" si="5"/>
        <v>-0.54384703344375152</v>
      </c>
      <c r="V21" s="55">
        <f t="shared" si="5"/>
        <v>0.35912179822268686</v>
      </c>
      <c r="W21" s="78">
        <f t="shared" si="5"/>
        <v>3.2948717948717947</v>
      </c>
      <c r="X21" s="80">
        <f t="shared" si="5"/>
        <v>0.5804736587723538</v>
      </c>
      <c r="Y21" s="55">
        <f t="shared" si="5"/>
        <v>0.12326560951437071</v>
      </c>
      <c r="Z21" s="81"/>
    </row>
    <row r="22" spans="2:26">
      <c r="B22" s="24">
        <v>44866</v>
      </c>
      <c r="C22" s="5">
        <v>65757</v>
      </c>
      <c r="D22" s="6">
        <v>14011</v>
      </c>
      <c r="E22" s="38">
        <v>79768</v>
      </c>
      <c r="F22" s="7">
        <v>3.7999999999999999E-2</v>
      </c>
      <c r="G22" s="30">
        <v>5.8000000000000003E-2</v>
      </c>
      <c r="H22" s="41">
        <f t="shared" si="0"/>
        <v>4.1369972921472271E-2</v>
      </c>
      <c r="I22" s="5">
        <v>2487</v>
      </c>
      <c r="J22" s="6">
        <v>813</v>
      </c>
      <c r="K22" s="38">
        <v>3300</v>
      </c>
      <c r="L22" s="8">
        <v>13105</v>
      </c>
      <c r="M22" s="43">
        <v>8223</v>
      </c>
      <c r="O22" s="24">
        <v>44866</v>
      </c>
      <c r="P22" s="55">
        <f t="shared" ref="P22:Y22" si="6">IF(AND(C10&lt;=0,C22&gt;0),"흑전",IF(AND(C10&lt;=0,C22&lt;=0),"적지",IF(AND(C10&gt;0,C22&lt;=0),"적전",C22/C10-1)))</f>
        <v>2.0811076750070283</v>
      </c>
      <c r="Q22" s="78">
        <f t="shared" si="6"/>
        <v>4.5335703001579777</v>
      </c>
      <c r="R22" s="80">
        <f t="shared" si="6"/>
        <v>2.3412080087124068</v>
      </c>
      <c r="S22" s="55">
        <f t="shared" si="6"/>
        <v>-0.50649350649350655</v>
      </c>
      <c r="T22" s="78">
        <f t="shared" si="6"/>
        <v>-0.27500000000000002</v>
      </c>
      <c r="U22" s="80">
        <f t="shared" si="6"/>
        <v>-0.46641451457199945</v>
      </c>
      <c r="V22" s="55">
        <f t="shared" si="6"/>
        <v>0.50910194174757284</v>
      </c>
      <c r="W22" s="78">
        <f t="shared" si="6"/>
        <v>2.9852941176470589</v>
      </c>
      <c r="X22" s="80">
        <f t="shared" si="6"/>
        <v>0.78282009724473256</v>
      </c>
      <c r="Y22" s="55">
        <f t="shared" si="6"/>
        <v>0.81988612692681562</v>
      </c>
      <c r="Z22" s="81"/>
    </row>
    <row r="23" spans="2:26">
      <c r="B23" s="25">
        <v>44896</v>
      </c>
      <c r="C23" s="9">
        <v>64447</v>
      </c>
      <c r="D23" s="10">
        <v>8667</v>
      </c>
      <c r="E23" s="39">
        <v>73114</v>
      </c>
      <c r="F23" s="11">
        <v>2.1999999999999999E-2</v>
      </c>
      <c r="G23" s="31">
        <v>7.6999999999999999E-2</v>
      </c>
      <c r="H23" s="42">
        <f t="shared" si="0"/>
        <v>2.8517110266159697E-2</v>
      </c>
      <c r="I23" s="9">
        <v>1420</v>
      </c>
      <c r="J23" s="10">
        <v>664</v>
      </c>
      <c r="K23" s="39">
        <v>2085</v>
      </c>
      <c r="L23" s="12">
        <v>13184</v>
      </c>
      <c r="M23" s="44">
        <v>8883</v>
      </c>
      <c r="O23" s="25">
        <v>44896</v>
      </c>
      <c r="P23" s="64">
        <f t="shared" ref="P23:Y37" si="7">IF(AND(C11&lt;=0,C23&gt;0),"흑전",IF(AND(C11&lt;=0,C23&lt;=0),"적지",IF(AND(C11&gt;0,C23&lt;=0),"적전",C23/C11-1)))</f>
        <v>1.5140237955919642</v>
      </c>
      <c r="Q23" s="82">
        <f t="shared" si="7"/>
        <v>2.9359673024523163</v>
      </c>
      <c r="R23" s="83">
        <f t="shared" si="7"/>
        <v>1.626504292847649</v>
      </c>
      <c r="S23" s="64">
        <f t="shared" si="7"/>
        <v>-0.90090090090090091</v>
      </c>
      <c r="T23" s="82">
        <f t="shared" si="7"/>
        <v>-0.18947368421052635</v>
      </c>
      <c r="U23" s="83">
        <f t="shared" si="7"/>
        <v>-0.86549800093543072</v>
      </c>
      <c r="V23" s="64">
        <f t="shared" si="7"/>
        <v>-0.75061468212153137</v>
      </c>
      <c r="W23" s="82">
        <f t="shared" si="7"/>
        <v>2.1923076923076925</v>
      </c>
      <c r="X23" s="83">
        <f t="shared" si="7"/>
        <v>-0.64672992206031854</v>
      </c>
      <c r="Y23" s="64">
        <f t="shared" si="7"/>
        <v>1.6383830298178905</v>
      </c>
      <c r="Z23" s="84"/>
    </row>
    <row r="24" spans="2:26">
      <c r="B24" s="24">
        <v>44927</v>
      </c>
      <c r="C24" s="5">
        <v>67226.089000000007</v>
      </c>
      <c r="D24" s="6">
        <v>6719.798436</v>
      </c>
      <c r="E24" s="38">
        <v>73945.887436000005</v>
      </c>
      <c r="F24" s="7">
        <v>8.6079926038832924E-2</v>
      </c>
      <c r="G24" s="30">
        <v>0.10501854776169063</v>
      </c>
      <c r="H24" s="40">
        <f t="shared" si="0"/>
        <v>8.7800964558296252E-2</v>
      </c>
      <c r="I24" s="5">
        <v>5786.816769</v>
      </c>
      <c r="J24" s="6">
        <v>705.70347300000003</v>
      </c>
      <c r="K24" s="38">
        <v>6492.5202420000005</v>
      </c>
      <c r="L24" s="8">
        <v>10633</v>
      </c>
      <c r="M24" s="43">
        <v>6093</v>
      </c>
      <c r="O24" s="24">
        <v>44927</v>
      </c>
      <c r="P24" s="55">
        <f t="shared" ref="P24" si="8">IF(AND(C12&lt;=0,C24&gt;0),"흑전",IF(AND(C12&lt;=0,C24&lt;=0),"적지",IF(AND(C12&gt;0,C24&lt;=0),"적전",C24/C12-1)))</f>
        <v>0.80982875218737393</v>
      </c>
      <c r="Q24" s="78">
        <f t="shared" si="7"/>
        <v>0.84154520032885727</v>
      </c>
      <c r="R24" s="80">
        <f t="shared" si="7"/>
        <v>0.81262133683049398</v>
      </c>
      <c r="S24" s="55">
        <f t="shared" si="7"/>
        <v>3.7822181132684962</v>
      </c>
      <c r="T24" s="78">
        <f t="shared" si="7"/>
        <v>0.3293487058441853</v>
      </c>
      <c r="U24" s="80">
        <f t="shared" si="7"/>
        <v>2.8104684565486124</v>
      </c>
      <c r="V24" s="55">
        <f t="shared" si="7"/>
        <v>7.90279502923077</v>
      </c>
      <c r="W24" s="78">
        <f t="shared" si="7"/>
        <v>1.4334602517241382</v>
      </c>
      <c r="X24" s="80">
        <f t="shared" si="7"/>
        <v>5.9069364276595753</v>
      </c>
      <c r="Y24" s="55">
        <f t="shared" si="7"/>
        <v>1.0420587670443635</v>
      </c>
      <c r="Z24" s="81"/>
    </row>
    <row r="25" spans="2:26">
      <c r="B25" s="24">
        <v>44958</v>
      </c>
      <c r="C25" s="5">
        <v>43470.983</v>
      </c>
      <c r="D25" s="6">
        <v>6868.7728550000002</v>
      </c>
      <c r="E25" s="38">
        <v>50339.755855000003</v>
      </c>
      <c r="F25" s="7">
        <v>7.5429351574589423E-2</v>
      </c>
      <c r="G25" s="30">
        <v>6.87154870256661E-2</v>
      </c>
      <c r="H25" s="41">
        <f t="shared" si="0"/>
        <v>7.4513256337683118E-2</v>
      </c>
      <c r="I25" s="5">
        <v>3278.9880600000001</v>
      </c>
      <c r="J25" s="6">
        <v>471.99107199999997</v>
      </c>
      <c r="K25" s="38">
        <v>3750.9791319999999</v>
      </c>
      <c r="L25" s="8">
        <v>8656</v>
      </c>
      <c r="M25" s="43">
        <v>5853</v>
      </c>
      <c r="O25" s="24">
        <v>44958</v>
      </c>
      <c r="P25" s="55">
        <f t="shared" ref="P25:P37" si="9">IF(AND(C13&lt;=0,C25&gt;0),"흑전",IF(AND(C13&lt;=0,C25&lt;=0),"적지",IF(AND(C13&gt;0,C25&lt;=0),"적전",C25/C13-1)))</f>
        <v>9.1276088866574678E-2</v>
      </c>
      <c r="Q25" s="78">
        <f t="shared" si="7"/>
        <v>0.97208522968705147</v>
      </c>
      <c r="R25" s="80">
        <f t="shared" si="7"/>
        <v>0.16209787744124848</v>
      </c>
      <c r="S25" s="55">
        <f t="shared" si="7"/>
        <v>0.30050606163085214</v>
      </c>
      <c r="T25" s="78">
        <f t="shared" si="7"/>
        <v>-0.19158250558039891</v>
      </c>
      <c r="U25" s="80">
        <f t="shared" si="7"/>
        <v>0.243361031600831</v>
      </c>
      <c r="V25" s="55">
        <f t="shared" si="7"/>
        <v>0.42502740547588003</v>
      </c>
      <c r="W25" s="78">
        <f t="shared" si="7"/>
        <v>0.59996973559322031</v>
      </c>
      <c r="X25" s="80">
        <f t="shared" si="7"/>
        <v>0.44490721571648684</v>
      </c>
      <c r="Y25" s="55">
        <f t="shared" si="7"/>
        <v>0.84209406256650343</v>
      </c>
      <c r="Z25" s="81"/>
    </row>
    <row r="26" spans="2:26">
      <c r="B26" s="24">
        <v>44986</v>
      </c>
      <c r="C26" s="5">
        <v>96405.945999999996</v>
      </c>
      <c r="D26" s="6">
        <v>8269.6835819999997</v>
      </c>
      <c r="E26" s="38">
        <v>104675.62958199999</v>
      </c>
      <c r="F26" s="7">
        <v>5.6142116586875256E-2</v>
      </c>
      <c r="G26" s="30">
        <v>8.4810252659072063E-2</v>
      </c>
      <c r="H26" s="41">
        <f t="shared" si="0"/>
        <v>5.8406983921798418E-2</v>
      </c>
      <c r="I26" s="5">
        <v>5412.4338600000001</v>
      </c>
      <c r="J26" s="6">
        <v>701.35395400000004</v>
      </c>
      <c r="K26" s="38">
        <v>6113.7878140000003</v>
      </c>
      <c r="L26" s="8">
        <v>13401</v>
      </c>
      <c r="M26" s="43">
        <v>5734</v>
      </c>
      <c r="O26" s="24">
        <v>44986</v>
      </c>
      <c r="P26" s="55">
        <f t="shared" si="9"/>
        <v>2.3978058717795085</v>
      </c>
      <c r="Q26" s="78">
        <f t="shared" si="7"/>
        <v>1.6169884753164556</v>
      </c>
      <c r="R26" s="80">
        <f t="shared" si="7"/>
        <v>2.3196635031713813</v>
      </c>
      <c r="S26" s="55">
        <f t="shared" si="7"/>
        <v>-0.81652903076184558</v>
      </c>
      <c r="T26" s="78">
        <f t="shared" si="7"/>
        <v>3.0385834599558121</v>
      </c>
      <c r="U26" s="80">
        <f t="shared" si="7"/>
        <v>-0.78959339460503286</v>
      </c>
      <c r="V26" s="55">
        <f t="shared" si="7"/>
        <v>-0.37687844116969837</v>
      </c>
      <c r="W26" s="78">
        <f t="shared" si="7"/>
        <v>9.4679694626865682</v>
      </c>
      <c r="X26" s="80">
        <f t="shared" si="7"/>
        <v>-0.30152087124414484</v>
      </c>
      <c r="Y26" s="55">
        <f t="shared" si="7"/>
        <v>2.0463741759490794</v>
      </c>
      <c r="Z26" s="81"/>
    </row>
    <row r="27" spans="2:26">
      <c r="B27" s="24">
        <v>45017</v>
      </c>
      <c r="C27" s="5">
        <v>96776.937000000005</v>
      </c>
      <c r="D27" s="6">
        <v>9170.7027030000008</v>
      </c>
      <c r="E27" s="38">
        <v>105947.63970300001</v>
      </c>
      <c r="F27" s="7">
        <v>9.3978035510671298E-2</v>
      </c>
      <c r="G27" s="30">
        <v>9.3818577579506984E-2</v>
      </c>
      <c r="H27" s="41">
        <f t="shared" si="0"/>
        <v>9.3964233020267157E-2</v>
      </c>
      <c r="I27" s="5">
        <v>9094.906422</v>
      </c>
      <c r="J27" s="6">
        <v>860.38228300000003</v>
      </c>
      <c r="K27" s="38">
        <v>9955.2887050000008</v>
      </c>
      <c r="L27" s="8">
        <v>18717</v>
      </c>
      <c r="M27" s="43">
        <v>6923</v>
      </c>
      <c r="O27" s="24">
        <v>45017</v>
      </c>
      <c r="P27" s="55">
        <f t="shared" si="9"/>
        <v>2.5459818628169431</v>
      </c>
      <c r="Q27" s="78">
        <f t="shared" si="7"/>
        <v>0.95913324140141021</v>
      </c>
      <c r="R27" s="80">
        <f t="shared" si="7"/>
        <v>2.3135560049727908</v>
      </c>
      <c r="S27" s="55">
        <f t="shared" si="7"/>
        <v>0.44581593093340444</v>
      </c>
      <c r="T27" s="78">
        <f t="shared" si="7"/>
        <v>0.23445496815140765</v>
      </c>
      <c r="U27" s="80">
        <f t="shared" si="7"/>
        <v>0.41384112310118693</v>
      </c>
      <c r="V27" s="55">
        <f t="shared" si="7"/>
        <v>4.1412698824194463</v>
      </c>
      <c r="W27" s="78">
        <f t="shared" si="7"/>
        <v>1.4236120647887325</v>
      </c>
      <c r="X27" s="80">
        <f t="shared" si="7"/>
        <v>3.6848417435294119</v>
      </c>
      <c r="Y27" s="55">
        <f t="shared" si="7"/>
        <v>2.6917159763313609</v>
      </c>
      <c r="Z27" s="81">
        <f t="shared" ref="Z27:Z37" si="10">IF(AND(M15&lt;=0,M27&gt;0),"흑전",IF(AND(M15&lt;=0,M27&lt;=0),"적지",IF(AND(M15&gt;0,M27&lt;=0),"적전",M27/M15-1)))</f>
        <v>-0.27287049679655495</v>
      </c>
    </row>
    <row r="28" spans="2:26">
      <c r="B28" s="24">
        <v>45047</v>
      </c>
      <c r="C28" s="5">
        <v>113704.50199999999</v>
      </c>
      <c r="D28" s="6">
        <v>9712.9595700000009</v>
      </c>
      <c r="E28" s="38">
        <v>123417.46157</v>
      </c>
      <c r="F28" s="7">
        <v>9.3988286215791167E-2</v>
      </c>
      <c r="G28" s="30">
        <v>7.5425060582229919E-2</v>
      </c>
      <c r="H28" s="41">
        <f t="shared" si="0"/>
        <v>9.2527359554572308E-2</v>
      </c>
      <c r="I28" s="5">
        <v>10686.891277999999</v>
      </c>
      <c r="J28" s="6">
        <v>732.60056399999996</v>
      </c>
      <c r="K28" s="38">
        <v>11419.491841999999</v>
      </c>
      <c r="L28" s="8">
        <v>21866</v>
      </c>
      <c r="M28" s="43">
        <v>7697</v>
      </c>
      <c r="O28" s="24">
        <v>45047</v>
      </c>
      <c r="P28" s="55">
        <f t="shared" si="9"/>
        <v>3.0052309697418016</v>
      </c>
      <c r="Q28" s="78">
        <f t="shared" si="7"/>
        <v>1.1613172162883849</v>
      </c>
      <c r="R28" s="80">
        <f t="shared" si="7"/>
        <v>2.7531158487410292</v>
      </c>
      <c r="S28" s="55">
        <f t="shared" si="7"/>
        <v>-0.26571651393913154</v>
      </c>
      <c r="T28" s="78">
        <f t="shared" si="7"/>
        <v>-0.19760573848691576</v>
      </c>
      <c r="U28" s="80">
        <f t="shared" si="7"/>
        <v>-0.25001979502278637</v>
      </c>
      <c r="V28" s="55">
        <f t="shared" si="7"/>
        <v>1.9408066257567418</v>
      </c>
      <c r="W28" s="78">
        <f t="shared" si="7"/>
        <v>0.72783151886792452</v>
      </c>
      <c r="X28" s="80">
        <f t="shared" si="7"/>
        <v>1.8147625935420262</v>
      </c>
      <c r="Y28" s="55">
        <f t="shared" si="7"/>
        <v>2.0616073928871463</v>
      </c>
      <c r="Z28" s="81">
        <f t="shared" si="10"/>
        <v>-0.29759080124110238</v>
      </c>
    </row>
    <row r="29" spans="2:26">
      <c r="B29" s="24">
        <v>45078</v>
      </c>
      <c r="C29" s="5">
        <v>103788.41800000001</v>
      </c>
      <c r="D29" s="6">
        <v>9948.3810620000004</v>
      </c>
      <c r="E29" s="38">
        <v>113736.79906200001</v>
      </c>
      <c r="F29" s="7">
        <v>9.0585882357316599E-2</v>
      </c>
      <c r="G29" s="30">
        <v>9.0161339660191644E-2</v>
      </c>
      <c r="H29" s="41">
        <f t="shared" si="0"/>
        <v>9.0548748267356968E-2</v>
      </c>
      <c r="I29" s="5">
        <v>9401.7654230000007</v>
      </c>
      <c r="J29" s="6">
        <v>896.95936400000005</v>
      </c>
      <c r="K29" s="38">
        <v>10298.724787000001</v>
      </c>
      <c r="L29" s="8">
        <v>22251</v>
      </c>
      <c r="M29" s="43">
        <v>8827</v>
      </c>
      <c r="O29" s="24">
        <v>45078</v>
      </c>
      <c r="P29" s="55">
        <f t="shared" si="9"/>
        <v>2.8558687075082663</v>
      </c>
      <c r="Q29" s="78">
        <f t="shared" si="7"/>
        <v>0.72296173571181166</v>
      </c>
      <c r="R29" s="80">
        <f t="shared" si="7"/>
        <v>2.4791471371937233</v>
      </c>
      <c r="S29" s="55">
        <f t="shared" si="7"/>
        <v>-0.56026270700331748</v>
      </c>
      <c r="T29" s="78">
        <f t="shared" si="7"/>
        <v>1.7926628910183151E-3</v>
      </c>
      <c r="U29" s="80">
        <f t="shared" si="7"/>
        <v>-0.51088414910638358</v>
      </c>
      <c r="V29" s="55">
        <f t="shared" si="7"/>
        <v>0.69952375686912527</v>
      </c>
      <c r="W29" s="78">
        <f t="shared" si="7"/>
        <v>0.72492185384615393</v>
      </c>
      <c r="X29" s="80">
        <f t="shared" si="7"/>
        <v>0.70170601239259756</v>
      </c>
      <c r="Y29" s="55">
        <f t="shared" si="7"/>
        <v>1.9703644373247897</v>
      </c>
      <c r="Z29" s="81">
        <f t="shared" si="10"/>
        <v>-0.16426813103578863</v>
      </c>
    </row>
    <row r="30" spans="2:26">
      <c r="B30" s="24">
        <v>45108</v>
      </c>
      <c r="C30" s="5">
        <v>130283.58</v>
      </c>
      <c r="D30" s="6">
        <v>28272.882874999999</v>
      </c>
      <c r="E30" s="38">
        <v>158556.462875</v>
      </c>
      <c r="F30" s="7">
        <v>0.13439015326413351</v>
      </c>
      <c r="G30" s="30">
        <v>9.1307676985522127E-2</v>
      </c>
      <c r="H30" s="41">
        <f t="shared" si="0"/>
        <v>0.1267079321568777</v>
      </c>
      <c r="I30" s="5">
        <v>17508.830284</v>
      </c>
      <c r="J30" s="6">
        <v>2581.5312570000001</v>
      </c>
      <c r="K30" s="38">
        <v>20090.361540999998</v>
      </c>
      <c r="L30" s="8">
        <v>27005</v>
      </c>
      <c r="M30" s="43">
        <v>9686</v>
      </c>
      <c r="O30" s="24">
        <v>45108</v>
      </c>
      <c r="P30" s="55">
        <f t="shared" si="9"/>
        <v>4.2967264300524457</v>
      </c>
      <c r="Q30" s="78">
        <f t="shared" si="7"/>
        <v>3.3590630396238046</v>
      </c>
      <c r="R30" s="80">
        <f t="shared" si="7"/>
        <v>4.1009028077145802</v>
      </c>
      <c r="S30" s="55">
        <f t="shared" si="7"/>
        <v>0.24435327096419912</v>
      </c>
      <c r="T30" s="78">
        <f t="shared" si="7"/>
        <v>3.3810657749684392E-3</v>
      </c>
      <c r="U30" s="80">
        <f t="shared" si="7"/>
        <v>0.20778575994001436</v>
      </c>
      <c r="V30" s="55">
        <f t="shared" si="7"/>
        <v>5.5625300914542724</v>
      </c>
      <c r="W30" s="78">
        <f t="shared" si="7"/>
        <v>3.3533410741989886</v>
      </c>
      <c r="X30" s="80">
        <f t="shared" si="7"/>
        <v>5.1607977739957063</v>
      </c>
      <c r="Y30" s="55">
        <f t="shared" si="7"/>
        <v>2.4917248513059218</v>
      </c>
      <c r="Z30" s="81">
        <f t="shared" si="10"/>
        <v>-0.13825622775800717</v>
      </c>
    </row>
    <row r="31" spans="2:26">
      <c r="B31" s="24">
        <v>45161</v>
      </c>
      <c r="C31" s="5">
        <v>132750.11799999999</v>
      </c>
      <c r="D31" s="6">
        <v>28189.213868999999</v>
      </c>
      <c r="E31" s="38">
        <v>160939.33186899999</v>
      </c>
      <c r="F31" s="7">
        <v>0.11981313373295835</v>
      </c>
      <c r="G31" s="30">
        <v>7.0964042853280326E-2</v>
      </c>
      <c r="H31" s="41">
        <f t="shared" si="0"/>
        <v>0.11125700606595453</v>
      </c>
      <c r="I31" s="5">
        <v>15905.207640999999</v>
      </c>
      <c r="J31" s="6">
        <v>2000.4205810000001</v>
      </c>
      <c r="K31" s="38">
        <v>17905.628221999999</v>
      </c>
      <c r="L31" s="8">
        <v>28718</v>
      </c>
      <c r="M31" s="43">
        <v>10541</v>
      </c>
      <c r="O31" s="24">
        <v>45161</v>
      </c>
      <c r="P31" s="55">
        <f t="shared" si="9"/>
        <v>2.0996104884654896</v>
      </c>
      <c r="Q31" s="78">
        <f t="shared" si="7"/>
        <v>2.3474900687566795</v>
      </c>
      <c r="R31" s="80">
        <f t="shared" si="7"/>
        <v>2.14027964622439</v>
      </c>
      <c r="S31" s="55">
        <f t="shared" si="7"/>
        <v>0.53606581708920964</v>
      </c>
      <c r="T31" s="78">
        <f t="shared" si="7"/>
        <v>-4.1026447928644183E-2</v>
      </c>
      <c r="U31" s="80">
        <f t="shared" si="7"/>
        <v>0.4420641276884596</v>
      </c>
      <c r="V31" s="55">
        <f t="shared" si="7"/>
        <v>3.7749047256079251</v>
      </c>
      <c r="W31" s="78">
        <f t="shared" si="7"/>
        <v>2.2109479630818623</v>
      </c>
      <c r="X31" s="80">
        <f t="shared" si="7"/>
        <v>3.528484628730399</v>
      </c>
      <c r="Y31" s="55">
        <f t="shared" si="7"/>
        <v>2.3173154672519347</v>
      </c>
      <c r="Z31" s="81">
        <f t="shared" si="10"/>
        <v>-0.11023887904110741</v>
      </c>
    </row>
    <row r="32" spans="2:26">
      <c r="B32" s="24">
        <v>45199</v>
      </c>
      <c r="C32" s="5">
        <v>103753.274</v>
      </c>
      <c r="D32" s="6">
        <v>18082.588293000001</v>
      </c>
      <c r="E32" s="38">
        <v>121835.86229300001</v>
      </c>
      <c r="F32" s="7">
        <v>0.12667088017868236</v>
      </c>
      <c r="G32" s="30">
        <v>6.5509854496801703E-2</v>
      </c>
      <c r="H32" s="41">
        <f t="shared" si="0"/>
        <v>0.11759350652064252</v>
      </c>
      <c r="I32" s="5">
        <v>13142.518539000001</v>
      </c>
      <c r="J32" s="6">
        <v>1184.587728</v>
      </c>
      <c r="K32" s="38">
        <v>14327.106267000001</v>
      </c>
      <c r="L32" s="8">
        <v>28165</v>
      </c>
      <c r="M32" s="43">
        <v>7912</v>
      </c>
      <c r="O32" s="24">
        <v>45199</v>
      </c>
      <c r="P32" s="55">
        <f t="shared" si="9"/>
        <v>0.67714585454956921</v>
      </c>
      <c r="Q32" s="78">
        <f t="shared" si="7"/>
        <v>1.4859208541380258</v>
      </c>
      <c r="R32" s="80">
        <f t="shared" si="7"/>
        <v>0.76223819796924963</v>
      </c>
      <c r="S32" s="55">
        <f t="shared" si="7"/>
        <v>1.7537147864930946</v>
      </c>
      <c r="T32" s="78">
        <f t="shared" si="7"/>
        <v>0.14929569292634559</v>
      </c>
      <c r="U32" s="80">
        <f t="shared" si="7"/>
        <v>1.4741516312591787</v>
      </c>
      <c r="V32" s="55">
        <f t="shared" si="7"/>
        <v>3.5824681098326359</v>
      </c>
      <c r="W32" s="78">
        <f t="shared" si="7"/>
        <v>1.8407379568345323</v>
      </c>
      <c r="X32" s="80">
        <f t="shared" si="7"/>
        <v>3.3600445121728546</v>
      </c>
      <c r="Y32" s="55">
        <f t="shared" si="7"/>
        <v>2.3260510155880962</v>
      </c>
      <c r="Z32" s="81">
        <f t="shared" si="10"/>
        <v>-7.5376884422110546E-2</v>
      </c>
    </row>
    <row r="33" spans="2:26">
      <c r="B33" s="45">
        <v>45230</v>
      </c>
      <c r="C33" s="5">
        <v>143448</v>
      </c>
      <c r="D33" s="6">
        <v>13137.548276</v>
      </c>
      <c r="E33" s="38">
        <v>156585.54827599999</v>
      </c>
      <c r="F33" s="7">
        <v>0.12907565814790029</v>
      </c>
      <c r="G33" s="30">
        <v>9.7443814866024242E-2</v>
      </c>
      <c r="H33" s="41">
        <f t="shared" ref="H33:H34" si="11">K33/E33</f>
        <v>0.12642174229966358</v>
      </c>
      <c r="I33" s="6">
        <v>18515.64501</v>
      </c>
      <c r="J33" s="6">
        <v>1280.172822</v>
      </c>
      <c r="K33" s="38">
        <v>19795.817832000001</v>
      </c>
      <c r="L33" s="8">
        <v>30582</v>
      </c>
      <c r="M33" s="43">
        <v>8836</v>
      </c>
      <c r="N33" s="28"/>
      <c r="O33" s="45">
        <v>45230</v>
      </c>
      <c r="P33" s="55">
        <f t="shared" si="9"/>
        <v>1.6574779080753625</v>
      </c>
      <c r="Q33" s="78">
        <f t="shared" si="7"/>
        <v>0.42135110635075179</v>
      </c>
      <c r="R33" s="80">
        <f t="shared" si="7"/>
        <v>1.4767572724051754</v>
      </c>
      <c r="S33" s="55">
        <f t="shared" si="7"/>
        <v>1.6890762114145894</v>
      </c>
      <c r="T33" s="78">
        <f t="shared" si="7"/>
        <v>0.33484677898663362</v>
      </c>
      <c r="U33" s="80">
        <f t="shared" si="7"/>
        <v>1.4442310066267066</v>
      </c>
      <c r="V33" s="55">
        <f t="shared" si="7"/>
        <v>6.1214019269230766</v>
      </c>
      <c r="W33" s="78">
        <f t="shared" si="7"/>
        <v>0.9107057044776119</v>
      </c>
      <c r="X33" s="80">
        <f t="shared" si="7"/>
        <v>5.0537669211009177</v>
      </c>
      <c r="Y33" s="55">
        <f t="shared" si="7"/>
        <v>2.3728907025477004</v>
      </c>
      <c r="Z33" s="81">
        <f t="shared" si="10"/>
        <v>-0.17590001865323635</v>
      </c>
    </row>
    <row r="34" spans="2:26">
      <c r="B34" s="24">
        <v>45260</v>
      </c>
      <c r="C34" s="5">
        <v>116903.91800000001</v>
      </c>
      <c r="D34" s="6">
        <v>19435.014664999999</v>
      </c>
      <c r="E34" s="38">
        <v>136338.932665</v>
      </c>
      <c r="F34" s="7">
        <v>0.13745519529123051</v>
      </c>
      <c r="G34" s="30">
        <v>9.5720364664823893E-2</v>
      </c>
      <c r="H34" s="41">
        <f t="shared" si="11"/>
        <v>0.13150592585358201</v>
      </c>
      <c r="I34" s="5">
        <v>16069.050879</v>
      </c>
      <c r="J34" s="6">
        <v>1860.326691</v>
      </c>
      <c r="K34" s="38">
        <v>17929.377570000001</v>
      </c>
      <c r="L34" s="8">
        <v>28547</v>
      </c>
      <c r="M34" s="43">
        <v>6634</v>
      </c>
      <c r="N34" s="28"/>
      <c r="O34" s="24">
        <v>45260</v>
      </c>
      <c r="P34" s="55">
        <f t="shared" si="9"/>
        <v>0.7778170841127181</v>
      </c>
      <c r="Q34" s="78">
        <f t="shared" si="7"/>
        <v>0.38712544893298118</v>
      </c>
      <c r="R34" s="80">
        <f t="shared" si="7"/>
        <v>0.70919331893741844</v>
      </c>
      <c r="S34" s="55">
        <f t="shared" si="7"/>
        <v>2.6172419813481715</v>
      </c>
      <c r="T34" s="78">
        <f t="shared" si="7"/>
        <v>0.65035111491075659</v>
      </c>
      <c r="U34" s="80">
        <f t="shared" si="7"/>
        <v>2.1787771798450088</v>
      </c>
      <c r="V34" s="55">
        <f t="shared" si="7"/>
        <v>5.4612186887816652</v>
      </c>
      <c r="W34" s="78">
        <f t="shared" si="7"/>
        <v>1.2882247121771218</v>
      </c>
      <c r="X34" s="80">
        <f t="shared" si="7"/>
        <v>4.4331447181818184</v>
      </c>
      <c r="Y34" s="55">
        <f t="shared" si="7"/>
        <v>1.1783288821060665</v>
      </c>
      <c r="Z34" s="81">
        <f t="shared" si="10"/>
        <v>-0.19323847744132316</v>
      </c>
    </row>
    <row r="35" spans="2:26">
      <c r="B35" s="25">
        <v>45291</v>
      </c>
      <c r="C35" s="9">
        <v>126239.84</v>
      </c>
      <c r="D35" s="10">
        <v>12149.459570999999</v>
      </c>
      <c r="E35" s="39">
        <v>138389.29957099998</v>
      </c>
      <c r="F35" s="11">
        <v>0.10552009502705328</v>
      </c>
      <c r="G35" s="31">
        <v>8.3857541320757081E-2</v>
      </c>
      <c r="H35" s="42">
        <f t="shared" ref="H35" si="12">K35/E35</f>
        <v>0.10361829827488291</v>
      </c>
      <c r="I35" s="9">
        <v>13320.839913000002</v>
      </c>
      <c r="J35" s="10">
        <v>1018.823808</v>
      </c>
      <c r="K35" s="39">
        <v>14339.663721000001</v>
      </c>
      <c r="L35" s="12">
        <v>28328</v>
      </c>
      <c r="M35" s="44">
        <v>6977</v>
      </c>
      <c r="N35" s="28"/>
      <c r="O35" s="24">
        <v>45291</v>
      </c>
      <c r="P35" s="55">
        <f t="shared" si="9"/>
        <v>0.95881639176377487</v>
      </c>
      <c r="Q35" s="78">
        <f t="shared" si="7"/>
        <v>0.40180680408445824</v>
      </c>
      <c r="R35" s="80">
        <f t="shared" si="7"/>
        <v>0.89278796907568969</v>
      </c>
      <c r="S35" s="55">
        <f t="shared" si="7"/>
        <v>3.7963679557751497</v>
      </c>
      <c r="T35" s="78">
        <f t="shared" si="7"/>
        <v>8.9058978191650429E-2</v>
      </c>
      <c r="U35" s="80">
        <f t="shared" si="7"/>
        <v>2.6335483261725603</v>
      </c>
      <c r="V35" s="55">
        <f t="shared" si="7"/>
        <v>8.3808731781690149</v>
      </c>
      <c r="W35" s="78">
        <f t="shared" si="7"/>
        <v>0.53437320481927708</v>
      </c>
      <c r="X35" s="80">
        <f t="shared" si="7"/>
        <v>5.8775365568345324</v>
      </c>
      <c r="Y35" s="55">
        <f t="shared" si="7"/>
        <v>1.1486650485436893</v>
      </c>
      <c r="Z35" s="81">
        <f t="shared" si="10"/>
        <v>-0.21456715073736354</v>
      </c>
    </row>
    <row r="36" spans="2:26" s="28" customFormat="1">
      <c r="B36" s="27">
        <v>45322</v>
      </c>
      <c r="C36" s="85">
        <v>120821.45299999999</v>
      </c>
      <c r="D36" s="86">
        <v>11036.752268</v>
      </c>
      <c r="E36" s="87">
        <v>131858.20526799999</v>
      </c>
      <c r="F36" s="88">
        <v>0.18826791453170161</v>
      </c>
      <c r="G36" s="89">
        <v>0.10251409568016226</v>
      </c>
      <c r="H36" s="40">
        <f t="shared" ref="H36" si="13">K36/E36</f>
        <v>0.18109017650033865</v>
      </c>
      <c r="I36" s="85">
        <v>22746.802987000003</v>
      </c>
      <c r="J36" s="86">
        <v>1131.4226779999999</v>
      </c>
      <c r="K36" s="87">
        <v>23878.225665000002</v>
      </c>
      <c r="L36" s="90">
        <v>26245</v>
      </c>
      <c r="M36" s="91">
        <v>5141</v>
      </c>
      <c r="O36" s="94">
        <v>45322</v>
      </c>
      <c r="P36" s="46">
        <f t="shared" si="9"/>
        <v>0.79724054749042406</v>
      </c>
      <c r="Q36" s="75">
        <f t="shared" si="7"/>
        <v>0.64242311329946555</v>
      </c>
      <c r="R36" s="92">
        <f t="shared" si="7"/>
        <v>0.78317158452013924</v>
      </c>
      <c r="S36" s="46">
        <f t="shared" si="7"/>
        <v>1.1871291391069385</v>
      </c>
      <c r="T36" s="75">
        <f t="shared" si="7"/>
        <v>-2.384771199856528E-2</v>
      </c>
      <c r="U36" s="92">
        <f t="shared" si="7"/>
        <v>1.0625078256412794</v>
      </c>
      <c r="V36" s="46">
        <f t="shared" si="7"/>
        <v>2.930797171400815</v>
      </c>
      <c r="W36" s="75">
        <f t="shared" si="7"/>
        <v>0.60325507991371308</v>
      </c>
      <c r="X36" s="92">
        <f t="shared" si="7"/>
        <v>2.6778053475339476</v>
      </c>
      <c r="Y36" s="46">
        <f t="shared" si="7"/>
        <v>1.4682591930781528</v>
      </c>
      <c r="Z36" s="93">
        <f t="shared" si="10"/>
        <v>-0.15624487116363039</v>
      </c>
    </row>
    <row r="37" spans="2:26" s="28" customFormat="1">
      <c r="B37" s="24">
        <v>45351</v>
      </c>
      <c r="C37" s="5">
        <v>105444.946</v>
      </c>
      <c r="D37" s="6">
        <v>12213.009354</v>
      </c>
      <c r="E37" s="38">
        <v>117657.95535399999</v>
      </c>
      <c r="F37" s="7">
        <v>0.21600178531079148</v>
      </c>
      <c r="G37" s="30">
        <v>9.5610739102361939E-2</v>
      </c>
      <c r="H37" s="41">
        <f t="shared" ref="H37" si="14">K37/E37</f>
        <v>0.20350507848754643</v>
      </c>
      <c r="I37" s="5">
        <v>22776.296588000001</v>
      </c>
      <c r="J37" s="6">
        <v>1167.694851</v>
      </c>
      <c r="K37" s="38">
        <v>23943.991439000001</v>
      </c>
      <c r="L37" s="8">
        <v>25328</v>
      </c>
      <c r="M37" s="43">
        <v>6128</v>
      </c>
      <c r="O37" s="45">
        <v>45351</v>
      </c>
      <c r="P37" s="55">
        <f t="shared" si="9"/>
        <v>1.4256397882697982</v>
      </c>
      <c r="Q37" s="78">
        <f t="shared" si="7"/>
        <v>0.77804822081279901</v>
      </c>
      <c r="R37" s="80">
        <f t="shared" si="7"/>
        <v>1.3372770359257435</v>
      </c>
      <c r="S37" s="55">
        <f t="shared" si="7"/>
        <v>1.8636304144441032</v>
      </c>
      <c r="T37" s="78">
        <f t="shared" si="7"/>
        <v>0.39140015214692614</v>
      </c>
      <c r="U37" s="80">
        <f t="shared" si="7"/>
        <v>1.7311258223005495</v>
      </c>
      <c r="V37" s="55">
        <f t="shared" si="7"/>
        <v>5.9461358721751489</v>
      </c>
      <c r="W37" s="78">
        <f t="shared" si="7"/>
        <v>1.4739765649634999</v>
      </c>
      <c r="X37" s="80">
        <f t="shared" si="7"/>
        <v>5.3833976666868866</v>
      </c>
      <c r="Y37" s="55">
        <f t="shared" si="7"/>
        <v>1.9260628465804066</v>
      </c>
      <c r="Z37" s="81">
        <f t="shared" si="10"/>
        <v>4.6984452417563549E-2</v>
      </c>
    </row>
    <row r="38" spans="2:26" s="28" customFormat="1">
      <c r="B38" s="24">
        <v>45382</v>
      </c>
      <c r="C38" s="5">
        <v>121940.96400000001</v>
      </c>
      <c r="D38" s="6">
        <v>13216.175238</v>
      </c>
      <c r="E38" s="38">
        <v>135157.139238</v>
      </c>
      <c r="F38" s="7">
        <v>0.17335294295360826</v>
      </c>
      <c r="G38" s="30">
        <v>7.9225481286706284E-2</v>
      </c>
      <c r="H38" s="41">
        <f t="shared" ref="H38:H39" si="15">K38/E38</f>
        <v>0.16414880445887939</v>
      </c>
      <c r="I38" s="5">
        <v>21138.824976</v>
      </c>
      <c r="J38" s="6">
        <v>1047.0578439999999</v>
      </c>
      <c r="K38" s="38">
        <v>22185.882819999999</v>
      </c>
      <c r="L38" s="8">
        <v>27679</v>
      </c>
      <c r="M38" s="43">
        <v>5487</v>
      </c>
      <c r="O38" s="45">
        <v>45382</v>
      </c>
      <c r="P38" s="55">
        <f t="shared" ref="P38" si="16">IF(AND(C26&lt;=0,C38&gt;0),"흑전",IF(AND(C26&lt;=0,C38&lt;=0),"적지",IF(AND(C26&gt;0,C38&lt;=0),"적전",C38/C26-1)))</f>
        <v>0.26486974154063092</v>
      </c>
      <c r="Q38" s="78">
        <f t="shared" ref="Q38" si="17">IF(AND(D26&lt;=0,D38&gt;0),"흑전",IF(AND(D26&lt;=0,D38&lt;=0),"적지",IF(AND(D26&gt;0,D38&lt;=0),"적전",D38/D26-1)))</f>
        <v>0.59814763248821978</v>
      </c>
      <c r="R38" s="80">
        <f t="shared" ref="R38" si="18">IF(AND(E26&lt;=0,E38&gt;0),"흑전",IF(AND(E26&lt;=0,E38&lt;=0),"적지",IF(AND(E26&gt;0,E38&lt;=0),"적전",E38/E26-1)))</f>
        <v>0.29119967826056059</v>
      </c>
      <c r="S38" s="55">
        <f t="shared" ref="S38" si="19">IF(AND(F26&lt;=0,F38&gt;0),"흑전",IF(AND(F26&lt;=0,F38&lt;=0),"적지",IF(AND(F26&gt;0,F38&lt;=0),"적전",F38/F26-1)))</f>
        <v>2.0877521812943942</v>
      </c>
      <c r="T38" s="78">
        <f t="shared" ref="T38" si="20">IF(AND(G26&lt;=0,G38&gt;0),"흑전",IF(AND(G26&lt;=0,G38&lt;=0),"적지",IF(AND(G26&gt;0,G38&lt;=0),"적전",G38/G26-1)))</f>
        <v>-6.585019142456694E-2</v>
      </c>
      <c r="U38" s="80">
        <f t="shared" ref="U38" si="21">IF(AND(H26&lt;=0,H38&gt;0),"흑전",IF(AND(H26&lt;=0,H38&lt;=0),"적지",IF(AND(H26&gt;0,H38&lt;=0),"적전",H38/H26-1)))</f>
        <v>1.8104311066405954</v>
      </c>
      <c r="V38" s="55">
        <f t="shared" ref="V38" si="22">IF(AND(I26&lt;=0,I38&gt;0),"흑전",IF(AND(I26&lt;=0,I38&lt;=0),"적지",IF(AND(I26&gt;0,I38&lt;=0),"적전",I38/I26-1)))</f>
        <v>2.9056043034953594</v>
      </c>
      <c r="W38" s="78">
        <f t="shared" ref="W38" si="23">IF(AND(J26&lt;=0,J38&gt;0),"흑전",IF(AND(J26&lt;=0,J38&lt;=0),"적지",IF(AND(J26&gt;0,J38&lt;=0),"적전",J38/J26-1)))</f>
        <v>0.49290930496415197</v>
      </c>
      <c r="X38" s="80">
        <f t="shared" ref="X38" si="24">IF(AND(K26&lt;=0,K38&gt;0),"흑전",IF(AND(K26&lt;=0,K38&lt;=0),"적지",IF(AND(K26&gt;0,K38&lt;=0),"적전",K38/K26-1)))</f>
        <v>2.6288277406678082</v>
      </c>
      <c r="Y38" s="55">
        <f t="shared" ref="Y38" si="25">IF(AND(L26&lt;=0,L38&gt;0),"흑전",IF(AND(L26&lt;=0,L38&lt;=0),"적지",IF(AND(L26&gt;0,L38&lt;=0),"적전",L38/L26-1)))</f>
        <v>1.0654428773972091</v>
      </c>
      <c r="Z38" s="81">
        <f t="shared" ref="Z38" si="26">IF(AND(M26&lt;=0,M38&gt;0),"흑전",IF(AND(M26&lt;=0,M38&lt;=0),"적지",IF(AND(M26&gt;0,M38&lt;=0),"적전",M38/M26-1)))</f>
        <v>-4.3076386466689875E-2</v>
      </c>
    </row>
    <row r="39" spans="2:26" s="28" customFormat="1">
      <c r="B39" s="24">
        <v>45412</v>
      </c>
      <c r="C39" s="5">
        <v>128312.228</v>
      </c>
      <c r="D39" s="6">
        <v>11846.366567999999</v>
      </c>
      <c r="E39" s="38">
        <v>140158.594568</v>
      </c>
      <c r="F39" s="7">
        <v>0.15212480989730767</v>
      </c>
      <c r="G39" s="30">
        <v>7.365460464113506E-2</v>
      </c>
      <c r="H39" s="41">
        <f t="shared" si="15"/>
        <v>0.14549241736372087</v>
      </c>
      <c r="I39" s="5">
        <v>19519.473291999999</v>
      </c>
      <c r="J39" s="6">
        <v>872.539446</v>
      </c>
      <c r="K39" s="38">
        <v>20392.012737999998</v>
      </c>
      <c r="L39" s="8">
        <v>28134</v>
      </c>
      <c r="M39" s="43">
        <v>7490</v>
      </c>
      <c r="O39" s="45">
        <v>45412</v>
      </c>
      <c r="P39" s="55">
        <f t="shared" ref="P39:P40" si="27">IF(AND(C27&lt;=0,C39&gt;0),"흑전",IF(AND(C27&lt;=0,C39&lt;=0),"적지",IF(AND(C27&gt;0,C39&lt;=0),"적전",C39/C27-1)))</f>
        <v>0.32585543599091182</v>
      </c>
      <c r="Q39" s="78">
        <f t="shared" ref="Q39:Q40" si="28">IF(AND(D27&lt;=0,D39&gt;0),"흑전",IF(AND(D27&lt;=0,D39&lt;=0),"적지",IF(AND(D27&gt;0,D39&lt;=0),"적전",D39/D27-1)))</f>
        <v>0.29176214207933193</v>
      </c>
      <c r="R39" s="80">
        <f t="shared" ref="R39:R40" si="29">IF(AND(E27&lt;=0,E39&gt;0),"흑전",IF(AND(E27&lt;=0,E39&lt;=0),"적지",IF(AND(E27&gt;0,E39&lt;=0),"적전",E39/E27-1)))</f>
        <v>0.3229043606908335</v>
      </c>
      <c r="S39" s="55">
        <f t="shared" ref="S39:S40" si="30">IF(AND(F27&lt;=0,F39&gt;0),"흑전",IF(AND(F27&lt;=0,F39&lt;=0),"적지",IF(AND(F27&gt;0,F39&lt;=0),"적전",F39/F27-1)))</f>
        <v>0.61872728101486807</v>
      </c>
      <c r="T39" s="78">
        <f t="shared" ref="T39:T40" si="31">IF(AND(G27&lt;=0,G39&gt;0),"흑전",IF(AND(G27&lt;=0,G39&lt;=0),"적지",IF(AND(G27&gt;0,G39&lt;=0),"적전",G39/G27-1)))</f>
        <v>-0.21492516150422203</v>
      </c>
      <c r="U39" s="80">
        <f t="shared" ref="U39:U40" si="32">IF(AND(H27&lt;=0,H39&gt;0),"흑전",IF(AND(H27&lt;=0,H39&lt;=0),"적지",IF(AND(H27&gt;0,H39&lt;=0),"적전",H39/H27-1)))</f>
        <v>0.54838083265511872</v>
      </c>
      <c r="V39" s="55">
        <f t="shared" ref="V39:V40" si="33">IF(AND(I27&lt;=0,I39&gt;0),"흑전",IF(AND(I27&lt;=0,I39&lt;=0),"적지",IF(AND(I27&gt;0,I39&lt;=0),"적전",I39/I27-1)))</f>
        <v>1.1461983649203509</v>
      </c>
      <c r="W39" s="78">
        <f t="shared" ref="W39:W40" si="34">IF(AND(J27&lt;=0,J39&gt;0),"흑전",IF(AND(J27&lt;=0,J39&lt;=0),"적지",IF(AND(J27&gt;0,J39&lt;=0),"적전",J39/J27-1)))</f>
        <v>1.4129955067891498E-2</v>
      </c>
      <c r="X39" s="80">
        <f t="shared" ref="X39:X40" si="35">IF(AND(K27&lt;=0,K39&gt;0),"흑전",IF(AND(K27&lt;=0,K39&lt;=0),"적지",IF(AND(K27&gt;0,K39&lt;=0),"적전",K39/K27-1)))</f>
        <v>1.0483597555295607</v>
      </c>
      <c r="Y39" s="55">
        <f t="shared" ref="Y39:Y40" si="36">IF(AND(L27&lt;=0,L39&gt;0),"흑전",IF(AND(L27&lt;=0,L39&lt;=0),"적지",IF(AND(L27&gt;0,L39&lt;=0),"적전",L39/L27-1)))</f>
        <v>0.50312550088155161</v>
      </c>
      <c r="Z39" s="81">
        <f t="shared" ref="Z39:Z40" si="37">IF(AND(M27&lt;=0,M39&gt;0),"흑전",IF(AND(M27&lt;=0,M39&lt;=0),"적지",IF(AND(M27&gt;0,M39&lt;=0),"적전",M39/M27-1)))</f>
        <v>8.1900910010111128E-2</v>
      </c>
    </row>
    <row r="40" spans="2:26" s="28" customFormat="1">
      <c r="B40" s="24">
        <v>45443</v>
      </c>
      <c r="C40" s="5">
        <v>109204.08199999999</v>
      </c>
      <c r="D40" s="6">
        <v>30766.678939000001</v>
      </c>
      <c r="E40" s="38">
        <v>139970.760939</v>
      </c>
      <c r="F40" s="7">
        <v>0.22475324342729239</v>
      </c>
      <c r="G40" s="30">
        <v>8.3461932537183411E-2</v>
      </c>
      <c r="H40" s="41">
        <f t="shared" ref="H40" si="38">K40/E40</f>
        <v>0.19369629717749032</v>
      </c>
      <c r="I40" s="5">
        <v>24543.971624999998</v>
      </c>
      <c r="J40" s="6">
        <v>2567.8464819999999</v>
      </c>
      <c r="K40" s="38">
        <v>27111.818106999999</v>
      </c>
      <c r="L40" s="8">
        <v>29745</v>
      </c>
      <c r="M40" s="43">
        <v>7736</v>
      </c>
      <c r="O40" s="45">
        <v>45443</v>
      </c>
      <c r="P40" s="55">
        <f t="shared" si="27"/>
        <v>-3.9579963157483355E-2</v>
      </c>
      <c r="Q40" s="78">
        <f t="shared" si="28"/>
        <v>2.1675905492315355</v>
      </c>
      <c r="R40" s="80">
        <f t="shared" si="29"/>
        <v>0.13412445174633003</v>
      </c>
      <c r="S40" s="55">
        <f t="shared" si="30"/>
        <v>1.3912899412941004</v>
      </c>
      <c r="T40" s="78">
        <f t="shared" si="31"/>
        <v>0.10655439840438086</v>
      </c>
      <c r="U40" s="80">
        <f t="shared" si="32"/>
        <v>1.0933948413739065</v>
      </c>
      <c r="V40" s="55">
        <f t="shared" si="33"/>
        <v>1.2966427735188195</v>
      </c>
      <c r="W40" s="78">
        <f t="shared" si="34"/>
        <v>2.5051112545963043</v>
      </c>
      <c r="X40" s="80">
        <f t="shared" si="35"/>
        <v>1.3741702767617774</v>
      </c>
      <c r="Y40" s="55">
        <f t="shared" si="36"/>
        <v>0.36033110765572118</v>
      </c>
      <c r="Z40" s="81">
        <f t="shared" si="37"/>
        <v>5.0669091853969839E-3</v>
      </c>
    </row>
    <row r="41" spans="2:26" s="28" customFormat="1">
      <c r="B41" s="24">
        <v>45473</v>
      </c>
      <c r="C41" s="5">
        <v>115646.90300000001</v>
      </c>
      <c r="D41" s="6">
        <v>14418.964101</v>
      </c>
      <c r="E41" s="38">
        <v>130065.86710100001</v>
      </c>
      <c r="F41" s="7">
        <v>0.15426862029327321</v>
      </c>
      <c r="G41" s="30">
        <v>8.2809695664419494E-2</v>
      </c>
      <c r="H41" s="41">
        <f t="shared" ref="H41" si="39">K41/E41</f>
        <v>0.14634675968614408</v>
      </c>
      <c r="I41" s="5">
        <v>17840.688167</v>
      </c>
      <c r="J41" s="6">
        <v>1194.030029</v>
      </c>
      <c r="K41" s="38">
        <v>19034.718196000002</v>
      </c>
      <c r="L41" s="8">
        <v>28794</v>
      </c>
      <c r="M41" s="43">
        <v>7874</v>
      </c>
      <c r="O41" s="45">
        <v>45473</v>
      </c>
      <c r="P41" s="55">
        <f t="shared" ref="P41" si="40">IF(AND(C29&lt;=0,C41&gt;0),"흑전",IF(AND(C29&lt;=0,C41&lt;=0),"적지",IF(AND(C29&gt;0,C41&lt;=0),"적전",C41/C29-1)))</f>
        <v>0.11425634216719627</v>
      </c>
      <c r="Q41" s="78">
        <f t="shared" ref="Q41" si="41">IF(AND(D29&lt;=0,D41&gt;0),"흑전",IF(AND(D29&lt;=0,D41&lt;=0),"적지",IF(AND(D29&gt;0,D41&lt;=0),"적전",D41/D29-1)))</f>
        <v>0.44937794512881712</v>
      </c>
      <c r="R41" s="80">
        <f t="shared" ref="R41" si="42">IF(AND(E29&lt;=0,E41&gt;0),"흑전",IF(AND(E29&lt;=0,E41&lt;=0),"적지",IF(AND(E29&gt;0,E41&lt;=0),"적전",E41/E29-1)))</f>
        <v>0.14356890798464206</v>
      </c>
      <c r="S41" s="55">
        <f t="shared" ref="S41" si="43">IF(AND(F29&lt;=0,F41&gt;0),"흑전",IF(AND(F29&lt;=0,F41&lt;=0),"적지",IF(AND(F29&gt;0,F41&lt;=0),"적전",F41/F29-1)))</f>
        <v>0.70300952288304308</v>
      </c>
      <c r="T41" s="78">
        <f t="shared" ref="T41" si="44">IF(AND(G29&lt;=0,G41&gt;0),"흑전",IF(AND(G29&lt;=0,G41&lt;=0),"적지",IF(AND(G29&gt;0,G41&lt;=0),"적전",G41/G29-1)))</f>
        <v>-8.1538761773945478E-2</v>
      </c>
      <c r="U41" s="80">
        <f t="shared" ref="U41" si="45">IF(AND(H29&lt;=0,H41&gt;0),"흑전",IF(AND(H29&lt;=0,H41&lt;=0),"적지",IF(AND(H29&gt;0,H41&lt;=0),"적전",H41/H29-1)))</f>
        <v>0.61622068207984748</v>
      </c>
      <c r="V41" s="55">
        <f t="shared" ref="V41" si="46">IF(AND(I29&lt;=0,I41&gt;0),"흑전",IF(AND(I29&lt;=0,I41&lt;=0),"적지",IF(AND(I29&gt;0,I41&lt;=0),"적전",I41/I29-1)))</f>
        <v>0.89758916164356206</v>
      </c>
      <c r="W41" s="78">
        <f t="shared" ref="W41" si="47">IF(AND(J29&lt;=0,J41&gt;0),"흑전",IF(AND(J29&lt;=0,J41&lt;=0),"적지",IF(AND(J29&gt;0,J41&lt;=0),"적전",J41/J29-1)))</f>
        <v>0.33119746214054802</v>
      </c>
      <c r="X41" s="80">
        <f t="shared" ref="X41" si="48">IF(AND(K29&lt;=0,K41&gt;0),"흑전",IF(AND(K29&lt;=0,K41&lt;=0),"적지",IF(AND(K29&gt;0,K41&lt;=0),"적전",K41/K29-1)))</f>
        <v>0.84825972046824449</v>
      </c>
      <c r="Y41" s="55">
        <f t="shared" ref="Y41" si="49">IF(AND(L29&lt;=0,L41&gt;0),"흑전",IF(AND(L29&lt;=0,L41&lt;=0),"적지",IF(AND(L29&gt;0,L41&lt;=0),"적전",L41/L29-1)))</f>
        <v>0.29405419981124448</v>
      </c>
      <c r="Z41" s="81">
        <f t="shared" ref="Z41" si="50">IF(AND(M29&lt;=0,M41&gt;0),"흑전",IF(AND(M29&lt;=0,M41&lt;=0),"적지",IF(AND(M29&gt;0,M41&lt;=0),"적전",M41/M29-1)))</f>
        <v>-0.10796420074770585</v>
      </c>
    </row>
    <row r="42" spans="2:26" s="28" customFormat="1">
      <c r="B42" s="24">
        <v>45504</v>
      </c>
      <c r="C42" s="5">
        <v>124394.71400000001</v>
      </c>
      <c r="D42" s="6">
        <v>19130.501270000001</v>
      </c>
      <c r="E42" s="38">
        <v>143525.21527000002</v>
      </c>
      <c r="F42" s="7">
        <v>0.16788028115889231</v>
      </c>
      <c r="G42" s="30">
        <v>0.10295202928574385</v>
      </c>
      <c r="H42" s="41">
        <f t="shared" ref="H42" si="51">K42/E42</f>
        <v>0.15922598300938953</v>
      </c>
      <c r="I42" s="5">
        <v>20883.419560999999</v>
      </c>
      <c r="J42" s="6">
        <v>1969.523927</v>
      </c>
      <c r="K42" s="38">
        <v>22852.943487999997</v>
      </c>
      <c r="L42" s="8">
        <v>34275</v>
      </c>
      <c r="M42" s="43">
        <v>9242</v>
      </c>
      <c r="O42" s="45">
        <v>45504</v>
      </c>
      <c r="P42" s="55">
        <f t="shared" ref="P42" si="52">IF(AND(C30&lt;=0,C42&gt;0),"흑전",IF(AND(C30&lt;=0,C42&lt;=0),"적지",IF(AND(C30&gt;0,C42&lt;=0),"적전",C42/C30-1)))</f>
        <v>-4.5200369839391796E-2</v>
      </c>
      <c r="Q42" s="78">
        <f t="shared" ref="Q42" si="53">IF(AND(D30&lt;=0,D42&gt;0),"흑전",IF(AND(D30&lt;=0,D42&lt;=0),"적지",IF(AND(D30&gt;0,D42&lt;=0),"적전",D42/D30-1)))</f>
        <v>-0.32336219993625248</v>
      </c>
      <c r="R42" s="80">
        <f t="shared" ref="R42" si="54">IF(AND(E30&lt;=0,E42&gt;0),"흑전",IF(AND(E30&lt;=0,E42&lt;=0),"적지",IF(AND(E30&gt;0,E42&lt;=0),"적전",E42/E30-1)))</f>
        <v>-9.4800598679159798E-2</v>
      </c>
      <c r="S42" s="55">
        <f t="shared" ref="S42" si="55">IF(AND(F30&lt;=0,F42&gt;0),"흑전",IF(AND(F30&lt;=0,F42&lt;=0),"적지",IF(AND(F30&gt;0,F42&lt;=0),"적전",F42/F30-1)))</f>
        <v>0.24920075676181819</v>
      </c>
      <c r="T42" s="78">
        <f t="shared" ref="T42" si="56">IF(AND(G30&lt;=0,G42&gt;0),"흑전",IF(AND(G30&lt;=0,G42&lt;=0),"적지",IF(AND(G30&gt;0,G42&lt;=0),"적전",G42/G30-1)))</f>
        <v>0.12752873235476203</v>
      </c>
      <c r="U42" s="80">
        <f t="shared" ref="U42" si="57">IF(AND(H30&lt;=0,H42&gt;0),"흑전",IF(AND(H30&lt;=0,H42&lt;=0),"적지",IF(AND(H30&gt;0,H42&lt;=0),"적전",H42/H30-1)))</f>
        <v>0.25663784657341804</v>
      </c>
      <c r="V42" s="55">
        <f t="shared" ref="V42" si="58">IF(AND(I30&lt;=0,I42&gt;0),"흑전",IF(AND(I30&lt;=0,I42&lt;=0),"적지",IF(AND(I30&gt;0,I42&lt;=0),"적전",I42/I30-1)))</f>
        <v>0.19273642055253593</v>
      </c>
      <c r="W42" s="78">
        <f t="shared" ref="W42" si="59">IF(AND(J30&lt;=0,J42&gt;0),"흑전",IF(AND(J30&lt;=0,J42&lt;=0),"적지",IF(AND(J30&gt;0,J42&lt;=0),"적전",J42/J30-1)))</f>
        <v>-0.23707143903080785</v>
      </c>
      <c r="X42" s="80">
        <f t="shared" ref="X42" si="60">IF(AND(K30&lt;=0,K42&gt;0),"흑전",IF(AND(K30&lt;=0,K42&lt;=0),"적지",IF(AND(K30&gt;0,K42&lt;=0),"적전",K42/K30-1)))</f>
        <v>0.13750782639536774</v>
      </c>
      <c r="Y42" s="55">
        <f t="shared" ref="Y42" si="61">IF(AND(L30&lt;=0,L42&gt;0),"흑전",IF(AND(L30&lt;=0,L42&lt;=0),"적지",IF(AND(L30&gt;0,L42&lt;=0),"적전",L42/L30-1)))</f>
        <v>0.26920940566561757</v>
      </c>
      <c r="Z42" s="81">
        <f t="shared" ref="Z42" si="62">IF(AND(M30&lt;=0,M42&gt;0),"흑전",IF(AND(M30&lt;=0,M42&lt;=0),"적지",IF(AND(M30&gt;0,M42&lt;=0),"적전",M42/M30-1)))</f>
        <v>-4.5839355771216228E-2</v>
      </c>
    </row>
    <row r="43" spans="2:26" s="28" customFormat="1">
      <c r="B43" s="24">
        <v>45535</v>
      </c>
      <c r="C43" s="5">
        <v>159578.736</v>
      </c>
      <c r="D43" s="6">
        <v>29057.402351000001</v>
      </c>
      <c r="E43" s="38">
        <v>188636.138351</v>
      </c>
      <c r="F43" s="7">
        <v>0.18625381339654176</v>
      </c>
      <c r="G43" s="30">
        <v>0.11108364640891297</v>
      </c>
      <c r="H43" s="41">
        <f t="shared" ref="H43" si="63">K43/E43</f>
        <v>0.17467464407063507</v>
      </c>
      <c r="I43" s="5">
        <v>29722.148117000001</v>
      </c>
      <c r="J43" s="6">
        <v>3227.8022083200003</v>
      </c>
      <c r="K43" s="38">
        <v>32949.950325320002</v>
      </c>
      <c r="L43" s="8">
        <v>37494</v>
      </c>
      <c r="M43" s="43">
        <v>9923</v>
      </c>
      <c r="O43" s="45">
        <v>45535</v>
      </c>
      <c r="P43" s="55">
        <f t="shared" ref="P43" si="64">IF(AND(C31&lt;=0,C43&gt;0),"흑전",IF(AND(C31&lt;=0,C43&lt;=0),"적지",IF(AND(C31&gt;0,C43&lt;=0),"적전",C43/C31-1)))</f>
        <v>0.20209863768256708</v>
      </c>
      <c r="Q43" s="78">
        <f t="shared" ref="Q43" si="65">IF(AND(D31&lt;=0,D43&gt;0),"흑전",IF(AND(D31&lt;=0,D43&lt;=0),"적지",IF(AND(D31&gt;0,D43&lt;=0),"적전",D43/D31-1)))</f>
        <v>3.0798605666501278E-2</v>
      </c>
      <c r="R43" s="80">
        <f t="shared" ref="R43" si="66">IF(AND(E31&lt;=0,E43&gt;0),"흑전",IF(AND(E31&lt;=0,E43&lt;=0),"적지",IF(AND(E31&gt;0,E43&lt;=0),"적전",E43/E31-1)))</f>
        <v>0.17209470277001282</v>
      </c>
      <c r="S43" s="55">
        <f t="shared" ref="S43" si="67">IF(AND(F31&lt;=0,F43&gt;0),"흑전",IF(AND(F31&lt;=0,F43&lt;=0),"적지",IF(AND(F31&gt;0,F43&lt;=0),"적전",F43/F31-1)))</f>
        <v>0.55453586425397727</v>
      </c>
      <c r="T43" s="78">
        <f t="shared" ref="T43" si="68">IF(AND(G31&lt;=0,G43&gt;0),"흑전",IF(AND(G31&lt;=0,G43&lt;=0),"적지",IF(AND(G31&gt;0,G43&lt;=0),"적전",G43/G31-1)))</f>
        <v>0.56535115450765372</v>
      </c>
      <c r="U43" s="80">
        <f t="shared" ref="U43" si="69">IF(AND(H31&lt;=0,H43&gt;0),"흑전",IF(AND(H31&lt;=0,H43&lt;=0),"적지",IF(AND(H31&gt;0,H43&lt;=0),"적전",H43/H31-1)))</f>
        <v>0.57001028741583948</v>
      </c>
      <c r="V43" s="55">
        <f t="shared" ref="V43" si="70">IF(AND(I31&lt;=0,I43&gt;0),"흑전",IF(AND(I31&lt;=0,I43&lt;=0),"적지",IF(AND(I31&gt;0,I43&lt;=0),"적전",I43/I31-1)))</f>
        <v>0.86870544464839794</v>
      </c>
      <c r="W43" s="78">
        <f t="shared" ref="W43" si="71">IF(AND(J31&lt;=0,J43&gt;0),"흑전",IF(AND(J31&lt;=0,J43&lt;=0),"적지",IF(AND(J31&gt;0,J43&lt;=0),"적전",J43/J31-1)))</f>
        <v>0.6135617874449375</v>
      </c>
      <c r="X43" s="80">
        <f t="shared" ref="X43" si="72">IF(AND(K31&lt;=0,K43&gt;0),"흑전",IF(AND(K31&lt;=0,K43&lt;=0),"적지",IF(AND(K31&gt;0,K43&lt;=0),"적전",K43/K31-1)))</f>
        <v>0.84020074117453114</v>
      </c>
      <c r="Y43" s="55">
        <f t="shared" ref="Y43" si="73">IF(AND(L31&lt;=0,L43&gt;0),"흑전",IF(AND(L31&lt;=0,L43&lt;=0),"적지",IF(AND(L31&gt;0,L43&lt;=0),"적전",L43/L31-1)))</f>
        <v>0.30559231144230092</v>
      </c>
      <c r="Z43" s="81">
        <f t="shared" ref="Z43" si="74">IF(AND(M31&lt;=0,M43&gt;0),"흑전",IF(AND(M31&lt;=0,M43&lt;=0),"적지",IF(AND(M31&gt;0,M43&lt;=0),"적전",M43/M31-1)))</f>
        <v>-5.8628213641969462E-2</v>
      </c>
    </row>
    <row r="44" spans="2:26" s="28" customFormat="1">
      <c r="B44" s="24">
        <v>45565</v>
      </c>
      <c r="C44" s="5">
        <v>129411.855</v>
      </c>
      <c r="D44" s="6">
        <v>14023.295915999999</v>
      </c>
      <c r="E44" s="38">
        <v>143435.15091599998</v>
      </c>
      <c r="F44" s="7">
        <v>0.20983202963128841</v>
      </c>
      <c r="G44" s="30">
        <v>9.0400426375770421E-2</v>
      </c>
      <c r="H44" s="41">
        <f t="shared" ref="H44:H45" si="75">K44/E44</f>
        <v>0.1981555005275176</v>
      </c>
      <c r="I44" s="5">
        <v>27154.752193</v>
      </c>
      <c r="J44" s="6">
        <v>1267.7119299999999</v>
      </c>
      <c r="K44" s="38">
        <v>28422.464123000002</v>
      </c>
      <c r="L44" s="8">
        <v>35764</v>
      </c>
      <c r="M44" s="43">
        <v>6814</v>
      </c>
      <c r="O44" s="45">
        <v>45565</v>
      </c>
      <c r="P44" s="55">
        <f t="shared" ref="P44" si="76">IF(AND(C32&lt;=0,C44&gt;0),"흑전",IF(AND(C32&lt;=0,C44&lt;=0),"적지",IF(AND(C32&gt;0,C44&lt;=0),"적전",C44/C32-1)))</f>
        <v>0.2473038200221036</v>
      </c>
      <c r="Q44" s="78">
        <f t="shared" ref="Q44" si="77">IF(AND(D32&lt;=0,D44&gt;0),"흑전",IF(AND(D32&lt;=0,D44&lt;=0),"적지",IF(AND(D32&gt;0,D44&lt;=0),"적전",D44/D32-1)))</f>
        <v>-0.22448624672671469</v>
      </c>
      <c r="R44" s="80">
        <f t="shared" ref="R44" si="78">IF(AND(E32&lt;=0,E44&gt;0),"흑전",IF(AND(E32&lt;=0,E44&lt;=0),"적지",IF(AND(E32&gt;0,E44&lt;=0),"적전",E44/E32-1)))</f>
        <v>0.17728186279879066</v>
      </c>
      <c r="S44" s="55">
        <f t="shared" ref="S44" si="79">IF(AND(F32&lt;=0,F44&gt;0),"흑전",IF(AND(F32&lt;=0,F44&lt;=0),"적지",IF(AND(F32&gt;0,F44&lt;=0),"적전",F44/F32-1)))</f>
        <v>0.65651355177526716</v>
      </c>
      <c r="T44" s="78">
        <f t="shared" ref="T44" si="80">IF(AND(G32&lt;=0,G44&gt;0),"흑전",IF(AND(G32&lt;=0,G44&lt;=0),"적지",IF(AND(G32&gt;0,G44&lt;=0),"적전",G44/G32-1)))</f>
        <v>0.37995156713687894</v>
      </c>
      <c r="U44" s="80">
        <f t="shared" ref="U44" si="81">IF(AND(H32&lt;=0,H44&gt;0),"흑전",IF(AND(H32&lt;=0,H44&lt;=0),"적지",IF(AND(H32&gt;0,H44&lt;=0),"적전",H44/H32-1)))</f>
        <v>0.68508879776225684</v>
      </c>
      <c r="V44" s="55">
        <f t="shared" ref="V44" si="82">IF(AND(I32&lt;=0,I44&gt;0),"흑전",IF(AND(I32&lt;=0,I44&lt;=0),"적지",IF(AND(I32&gt;0,I44&lt;=0),"적전",I44/I32-1)))</f>
        <v>1.0661756810476732</v>
      </c>
      <c r="W44" s="78">
        <f t="shared" ref="W44" si="83">IF(AND(J32&lt;=0,J44&gt;0),"흑전",IF(AND(J32&lt;=0,J44&lt;=0),"적지",IF(AND(J32&gt;0,J44&lt;=0),"적전",J44/J32-1)))</f>
        <v>7.0171419165672821E-2</v>
      </c>
      <c r="X44" s="80">
        <f t="shared" ref="X44" si="84">IF(AND(K32&lt;=0,K44&gt;0),"흑전",IF(AND(K32&lt;=0,K44&lt;=0),"적지",IF(AND(K32&gt;0,K44&lt;=0),"적전",K44/K32-1)))</f>
        <v>0.98382447881092405</v>
      </c>
      <c r="Y44" s="55">
        <f t="shared" ref="Y44" si="85">IF(AND(L32&lt;=0,L44&gt;0),"흑전",IF(AND(L32&lt;=0,L44&lt;=0),"적지",IF(AND(L32&gt;0,L44&lt;=0),"적전",L44/L32-1)))</f>
        <v>0.26980294691993612</v>
      </c>
      <c r="Z44" s="81">
        <f t="shared" ref="Z44" si="86">IF(AND(M32&lt;=0,M44&gt;0),"흑전",IF(AND(M32&lt;=0,M44&lt;=0),"적지",IF(AND(M32&gt;0,M44&lt;=0),"적전",M44/M32-1)))</f>
        <v>-0.1387765419615774</v>
      </c>
    </row>
    <row r="45" spans="2:26" s="28" customFormat="1">
      <c r="B45" s="24">
        <v>45596</v>
      </c>
      <c r="C45" s="5">
        <v>137072.06</v>
      </c>
      <c r="D45" s="6">
        <v>16928.517521999998</v>
      </c>
      <c r="E45" s="38">
        <v>154000.57752200001</v>
      </c>
      <c r="F45" s="7">
        <v>0.16882722329166655</v>
      </c>
      <c r="G45" s="30">
        <v>6.254342464566344E-2</v>
      </c>
      <c r="H45" s="41">
        <f t="shared" si="75"/>
        <v>0.15714397393874413</v>
      </c>
      <c r="I45" s="5">
        <v>23141.495280668714</v>
      </c>
      <c r="J45" s="6">
        <v>1058.76746</v>
      </c>
      <c r="K45" s="38">
        <v>24200.262740668713</v>
      </c>
      <c r="L45" s="8">
        <v>37312</v>
      </c>
      <c r="M45" s="43">
        <v>7699</v>
      </c>
      <c r="O45" s="45">
        <v>45596</v>
      </c>
      <c r="P45" s="55">
        <f t="shared" ref="P45" si="87">IF(AND(C32&lt;=0,C45&gt;0),"흑전",IF(AND(C32&lt;=0,C45&lt;=0),"적지",IF(AND(C32&gt;0,C45&lt;=0),"적전",C45/C32-1)))</f>
        <v>0.32113479137053536</v>
      </c>
      <c r="Q45" s="78">
        <f t="shared" ref="Q45" si="88">IF(AND(D32&lt;=0,D45&gt;0),"흑전",IF(AND(D32&lt;=0,D45&lt;=0),"적지",IF(AND(D32&gt;0,D45&lt;=0),"적전",D45/D32-1)))</f>
        <v>-6.3822211306262977E-2</v>
      </c>
      <c r="R45" s="80">
        <f t="shared" ref="R45" si="89">IF(AND(E32&lt;=0,E45&gt;0),"흑전",IF(AND(E32&lt;=0,E45&lt;=0),"적지",IF(AND(E32&gt;0,E45&lt;=0),"적전",E45/E32-1)))</f>
        <v>0.26400039055535118</v>
      </c>
      <c r="S45" s="55">
        <f t="shared" ref="S45" si="90">IF(AND(F32&lt;=0,F45&gt;0),"흑전",IF(AND(F32&lt;=0,F45&lt;=0),"적지",IF(AND(F32&gt;0,F45&lt;=0),"적전",F45/F32-1)))</f>
        <v>0.33280216458209111</v>
      </c>
      <c r="T45" s="78">
        <f t="shared" ref="T45" si="91">IF(AND(G32&lt;=0,G45&gt;0),"흑전",IF(AND(G32&lt;=0,G45&lt;=0),"적지",IF(AND(G32&gt;0,G45&lt;=0),"적전",G45/G32-1)))</f>
        <v>-4.5282192639934604E-2</v>
      </c>
      <c r="U45" s="80">
        <f t="shared" ref="U45" si="92">IF(AND(H32&lt;=0,H45&gt;0),"흑전",IF(AND(H32&lt;=0,H45&lt;=0),"적지",IF(AND(H32&gt;0,H45&lt;=0),"적전",H45/H32-1)))</f>
        <v>0.3363320695871832</v>
      </c>
      <c r="V45" s="55">
        <f t="shared" ref="V45" si="93">IF(AND(I32&lt;=0,I45&gt;0),"흑전",IF(AND(I32&lt;=0,I45&lt;=0),"적지",IF(AND(I32&gt;0,I45&lt;=0),"적전",I45/I32-1)))</f>
        <v>0.76081130964335886</v>
      </c>
      <c r="W45" s="78">
        <f t="shared" ref="W45" si="94">IF(AND(J32&lt;=0,J45&gt;0),"흑전",IF(AND(J32&lt;=0,J45&lt;=0),"적지",IF(AND(J32&gt;0,J45&lt;=0),"적전",J45/J32-1)))</f>
        <v>-0.10621439427912083</v>
      </c>
      <c r="X45" s="80">
        <f>IF(AND(K33&lt;=0,K45&gt;0),"흑전",IF(AND(K33&lt;=0,K45&lt;=0),"적지",IF(AND(K33&gt;0,K45&lt;=0),"적전",K45/K33-1)))</f>
        <v>0.22249370781483524</v>
      </c>
      <c r="Y45" s="55">
        <f t="shared" ref="Y45" si="95">IF(AND(L32&lt;=0,L45&gt;0),"흑전",IF(AND(L32&lt;=0,L45&lt;=0),"적지",IF(AND(L32&gt;0,L45&lt;=0),"적전",L45/L32-1)))</f>
        <v>0.32476477898100486</v>
      </c>
      <c r="Z45" s="81">
        <f t="shared" ref="Z45" si="96">IF(AND(M32&lt;=0,M45&gt;0),"흑전",IF(AND(M32&lt;=0,M45&lt;=0),"적지",IF(AND(M32&gt;0,M45&lt;=0),"적전",M45/M32-1)))</f>
        <v>-2.6921132457027319E-2</v>
      </c>
    </row>
    <row r="46" spans="2:26">
      <c r="B46" s="45">
        <v>45626</v>
      </c>
      <c r="C46" s="5">
        <v>133102</v>
      </c>
      <c r="D46" s="6">
        <v>14655</v>
      </c>
      <c r="E46" s="38">
        <v>147758</v>
      </c>
      <c r="F46" s="7">
        <v>0.187</v>
      </c>
      <c r="G46" s="30">
        <v>8.3000000000000004E-2</v>
      </c>
      <c r="H46" s="41">
        <f t="shared" ref="H46" si="97">K46/E46</f>
        <v>0.17651159328090527</v>
      </c>
      <c r="I46" s="5">
        <v>24862</v>
      </c>
      <c r="J46" s="6">
        <v>1219</v>
      </c>
      <c r="K46" s="38">
        <v>26081</v>
      </c>
      <c r="L46" s="8">
        <v>35812</v>
      </c>
      <c r="M46" s="43">
        <v>5562</v>
      </c>
      <c r="N46" s="28"/>
      <c r="O46" s="45">
        <v>45626</v>
      </c>
      <c r="P46" s="55">
        <f t="shared" ref="P46" si="98">IF(AND(C33&lt;=0,C46&gt;0),"흑전",IF(AND(C33&lt;=0,C46&lt;=0),"적지",IF(AND(C33&gt;0,C46&lt;=0),"적전",C46/C33-1)))</f>
        <v>-7.2123696391723779E-2</v>
      </c>
      <c r="Q46" s="78">
        <f t="shared" ref="Q46" si="99">IF(AND(D33&lt;=0,D46&gt;0),"흑전",IF(AND(D33&lt;=0,D46&lt;=0),"적지",IF(AND(D33&gt;0,D46&lt;=0),"적전",D46/D33-1)))</f>
        <v>0.11550493989598642</v>
      </c>
      <c r="R46" s="80">
        <f t="shared" ref="R46" si="100">IF(AND(E33&lt;=0,E46&gt;0),"흑전",IF(AND(E33&lt;=0,E46&lt;=0),"적지",IF(AND(E33&gt;0,E46&lt;=0),"적전",E46/E33-1)))</f>
        <v>-5.63752426273747E-2</v>
      </c>
      <c r="S46" s="55">
        <f t="shared" ref="S46" si="101">IF(AND(F33&lt;=0,F46&gt;0),"흑전",IF(AND(F33&lt;=0,F46&lt;=0),"적지",IF(AND(F33&gt;0,F46&lt;=0),"적전",F46/F33-1)))</f>
        <v>0.4487627077270262</v>
      </c>
      <c r="T46" s="78">
        <f t="shared" ref="T46" si="102">IF(AND(G33&lt;=0,G46&gt;0),"흑전",IF(AND(G33&lt;=0,G46&lt;=0),"적지",IF(AND(G33&gt;0,G46&lt;=0),"적전",G46/G33-1)))</f>
        <v>-0.14822710795839711</v>
      </c>
      <c r="U46" s="80">
        <f t="shared" ref="U46" si="103">IF(AND(H33&lt;=0,H46&gt;0),"흑전",IF(AND(H33&lt;=0,H46&lt;=0),"적지",IF(AND(H33&gt;0,H46&lt;=0),"적전",H46/H33-1)))</f>
        <v>0.39621231340500973</v>
      </c>
      <c r="V46" s="55">
        <f t="shared" ref="V46" si="104">IF(AND(I33&lt;=0,I46&gt;0),"흑전",IF(AND(I33&lt;=0,I46&lt;=0),"적지",IF(AND(I33&gt;0,I46&lt;=0),"적전",I46/I33-1)))</f>
        <v>0.34275635477848243</v>
      </c>
      <c r="W46" s="78">
        <f t="shared" ref="W46" si="105">IF(AND(J33&lt;=0,J46&gt;0),"흑전",IF(AND(J33&lt;=0,J46&lt;=0),"적지",IF(AND(J33&gt;0,J46&lt;=0),"적전",J46/J33-1)))</f>
        <v>-4.7784815416117343E-2</v>
      </c>
      <c r="X46" s="80">
        <f t="shared" ref="X46:X49" si="106">IF(AND(K34&lt;=0,K46&gt;0),"흑전",IF(AND(K34&lt;=0,K46&lt;=0),"적지",IF(AND(K34&gt;0,K46&lt;=0),"적전",K46/K34-1)))</f>
        <v>0.4546517244212398</v>
      </c>
      <c r="Y46" s="55">
        <f t="shared" ref="Y46" si="107">IF(AND(L33&lt;=0,L46&gt;0),"흑전",IF(AND(L33&lt;=0,L46&lt;=0),"적지",IF(AND(L33&gt;0,L46&lt;=0),"적전",L46/L33-1)))</f>
        <v>0.1710156301092145</v>
      </c>
      <c r="Z46" s="81">
        <f t="shared" ref="Z46" si="108">IF(AND(M33&lt;=0,M46&gt;0),"흑전",IF(AND(M33&lt;=0,M46&lt;=0),"적지",IF(AND(M33&gt;0,M46&lt;=0),"적전",M46/M33-1)))</f>
        <v>-0.3705296514259846</v>
      </c>
    </row>
    <row r="47" spans="2:26">
      <c r="B47" s="95">
        <v>45656</v>
      </c>
      <c r="C47" s="9">
        <v>132778</v>
      </c>
      <c r="D47" s="10">
        <v>19314</v>
      </c>
      <c r="E47" s="39">
        <v>152092</v>
      </c>
      <c r="F47" s="11">
        <v>0.16700000000000001</v>
      </c>
      <c r="G47" s="31">
        <v>7.4999999999999997E-2</v>
      </c>
      <c r="H47" s="42">
        <f t="shared" ref="H47:H56" si="109">K47/E47</f>
        <v>0.15516266470294296</v>
      </c>
      <c r="I47" s="9">
        <v>22154</v>
      </c>
      <c r="J47" s="10">
        <v>1445</v>
      </c>
      <c r="K47" s="39">
        <v>23599</v>
      </c>
      <c r="L47" s="12">
        <v>36490</v>
      </c>
      <c r="M47" s="44">
        <v>5421</v>
      </c>
      <c r="N47" s="28"/>
      <c r="O47" s="95">
        <v>45656</v>
      </c>
      <c r="P47" s="64">
        <f t="shared" ref="P47" si="110">IF(AND(C34&lt;=0,C47&gt;0),"흑전",IF(AND(C34&lt;=0,C47&lt;=0),"적지",IF(AND(C34&gt;0,C47&lt;=0),"적전",C47/C34-1)))</f>
        <v>0.13578742502026309</v>
      </c>
      <c r="Q47" s="82">
        <f t="shared" ref="Q47" si="111">IF(AND(D34&lt;=0,D47&gt;0),"흑전",IF(AND(D34&lt;=0,D47&lt;=0),"적지",IF(AND(D34&gt;0,D47&lt;=0),"적전",D47/D34-1)))</f>
        <v>-6.2266310103655798E-3</v>
      </c>
      <c r="R47" s="83">
        <f t="shared" ref="R47" si="112">IF(AND(E34&lt;=0,E47&gt;0),"흑전",IF(AND(E34&lt;=0,E47&lt;=0),"적지",IF(AND(E34&gt;0,E47&lt;=0),"적전",E47/E34-1)))</f>
        <v>0.11554342568976272</v>
      </c>
      <c r="S47" s="64">
        <f t="shared" ref="S47" si="113">IF(AND(F34&lt;=0,F47&gt;0),"흑전",IF(AND(F34&lt;=0,F47&lt;=0),"적지",IF(AND(F34&gt;0,F47&lt;=0),"적전",F47/F34-1)))</f>
        <v>0.21494134613225802</v>
      </c>
      <c r="T47" s="82">
        <f t="shared" ref="T47" si="114">IF(AND(G34&lt;=0,G47&gt;0),"흑전",IF(AND(G34&lt;=0,G47&lt;=0),"적지",IF(AND(G34&gt;0,G47&lt;=0),"적전",G47/G34-1)))</f>
        <v>-0.2164676737011888</v>
      </c>
      <c r="U47" s="83">
        <f t="shared" ref="U47" si="115">IF(AND(H34&lt;=0,H47&gt;0),"흑전",IF(AND(H34&lt;=0,H47&lt;=0),"적지",IF(AND(H34&gt;0,H47&lt;=0),"적전",H47/H34-1)))</f>
        <v>0.17989104822318236</v>
      </c>
      <c r="V47" s="64">
        <f t="shared" ref="V47" si="116">IF(AND(I34&lt;=0,I47&gt;0),"흑전",IF(AND(I34&lt;=0,I47&lt;=0),"적지",IF(AND(I34&gt;0,I47&lt;=0),"적전",I47/I34-1)))</f>
        <v>0.37867507961855895</v>
      </c>
      <c r="W47" s="82">
        <f t="shared" ref="W47" si="117">IF(AND(J34&lt;=0,J47&gt;0),"흑전",IF(AND(J34&lt;=0,J47&lt;=0),"적지",IF(AND(J34&gt;0,J47&lt;=0),"적전",J47/J34-1)))</f>
        <v>-0.22325470736365416</v>
      </c>
      <c r="X47" s="83">
        <f t="shared" si="106"/>
        <v>0.64571502227349886</v>
      </c>
      <c r="Y47" s="64">
        <f t="shared" ref="Y47" si="118">IF(AND(L34&lt;=0,L47&gt;0),"흑전",IF(AND(L34&lt;=0,L47&lt;=0),"적지",IF(AND(L34&gt;0,L47&lt;=0),"적전",L47/L34-1)))</f>
        <v>0.2782428976775142</v>
      </c>
      <c r="Z47" s="84">
        <f t="shared" ref="Z47" si="119">IF(AND(M34&lt;=0,M47&gt;0),"흑전",IF(AND(M34&lt;=0,M47&lt;=0),"적지",IF(AND(M34&gt;0,M47&lt;=0),"적전",M47/M34-1)))</f>
        <v>-0.18284594513114261</v>
      </c>
    </row>
    <row r="48" spans="2:26">
      <c r="B48" s="27">
        <v>45688</v>
      </c>
      <c r="C48" s="85">
        <v>121091</v>
      </c>
      <c r="D48" s="86">
        <v>16695</v>
      </c>
      <c r="E48" s="87">
        <v>137787</v>
      </c>
      <c r="F48" s="88">
        <v>0.23200000000000001</v>
      </c>
      <c r="G48" s="89">
        <v>7.6999999999999999E-2</v>
      </c>
      <c r="H48" s="40">
        <f t="shared" si="109"/>
        <v>0.21353973887231742</v>
      </c>
      <c r="I48" s="85">
        <v>28144</v>
      </c>
      <c r="J48" s="86">
        <v>1279</v>
      </c>
      <c r="K48" s="87">
        <v>29423</v>
      </c>
      <c r="L48" s="90">
        <v>33863</v>
      </c>
      <c r="M48" s="91">
        <v>5484</v>
      </c>
      <c r="N48" s="28"/>
      <c r="O48" s="94">
        <v>45688</v>
      </c>
      <c r="P48" s="46">
        <f t="shared" ref="P48:P49" si="120">IF(AND(C36&lt;=0,C48&gt;0),"흑전",IF(AND(C36&lt;=0,C48&lt;=0),"적지",IF(AND(C36&gt;0,C48&lt;=0),"적전",C48/C36-1)))</f>
        <v>2.2309531404163252E-3</v>
      </c>
      <c r="Q48" s="75">
        <f t="shared" ref="Q48:Q49" si="121">IF(AND(D36&lt;=0,D48&gt;0),"흑전",IF(AND(D36&lt;=0,D48&lt;=0),"적지",IF(AND(D36&gt;0,D48&lt;=0),"적전",D48/D36-1)))</f>
        <v>0.51267325700564514</v>
      </c>
      <c r="R48" s="92">
        <f t="shared" ref="R48:R49" si="122">IF(AND(E36&lt;=0,E48&gt;0),"흑전",IF(AND(E36&lt;=0,E48&lt;=0),"적지",IF(AND(E36&gt;0,E48&lt;=0),"적전",E48/E36-1)))</f>
        <v>4.4963411415693155E-2</v>
      </c>
      <c r="S48" s="46">
        <f t="shared" ref="S48:S49" si="123">IF(AND(F36&lt;=0,F48&gt;0),"흑전",IF(AND(F36&lt;=0,F48&lt;=0),"적지",IF(AND(F36&gt;0,F48&lt;=0),"적전",F48/F36-1)))</f>
        <v>0.23228644974943169</v>
      </c>
      <c r="T48" s="75">
        <f t="shared" ref="T48:T49" si="124">IF(AND(G36&lt;=0,G48&gt;0),"흑전",IF(AND(G36&lt;=0,G48&lt;=0),"적지",IF(AND(G36&gt;0,G48&lt;=0),"적전",G48/G36-1)))</f>
        <v>-0.24888378042922688</v>
      </c>
      <c r="U48" s="92">
        <f t="shared" ref="U48:U49" si="125">IF(AND(H36&lt;=0,H48&gt;0),"흑전",IF(AND(H36&lt;=0,H48&lt;=0),"적지",IF(AND(H36&gt;0,H48&lt;=0),"적전",H48/H36-1)))</f>
        <v>0.17919007534855469</v>
      </c>
      <c r="V48" s="46">
        <f t="shared" ref="V48:V49" si="126">IF(AND(I36&lt;=0,I48&gt;0),"흑전",IF(AND(I36&lt;=0,I48&lt;=0),"적지",IF(AND(I36&gt;0,I48&lt;=0),"적전",I48/I36-1)))</f>
        <v>0.23727277262147761</v>
      </c>
      <c r="W48" s="75">
        <f t="shared" ref="W48:W49" si="127">IF(AND(J36&lt;=0,J48&gt;0),"흑전",IF(AND(J36&lt;=0,J48&lt;=0),"적지",IF(AND(J36&gt;0,J48&lt;=0),"적전",J48/J36-1)))</f>
        <v>0.13043518118345521</v>
      </c>
      <c r="X48" s="92">
        <f t="shared" si="106"/>
        <v>0.2322104838437542</v>
      </c>
      <c r="Y48" s="46">
        <f t="shared" ref="Y48:Y49" si="128">IF(AND(L36&lt;=0,L48&gt;0),"흑전",IF(AND(L36&lt;=0,L48&lt;=0),"적지",IF(AND(L36&gt;0,L48&lt;=0),"적전",L48/L36-1)))</f>
        <v>0.29026481234520851</v>
      </c>
      <c r="Z48" s="93">
        <f t="shared" ref="Z48:Z49" si="129">IF(AND(M36&lt;=0,M48&gt;0),"흑전",IF(AND(M36&lt;=0,M48&lt;=0),"적지",IF(AND(M36&gt;0,M48&lt;=0),"적전",M48/M36-1)))</f>
        <v>6.6718537249562448E-2</v>
      </c>
    </row>
    <row r="49" spans="2:26">
      <c r="B49" s="24">
        <v>45716</v>
      </c>
      <c r="C49" s="5">
        <v>140624</v>
      </c>
      <c r="D49" s="6">
        <v>24646</v>
      </c>
      <c r="E49" s="38">
        <v>165269</v>
      </c>
      <c r="F49" s="7">
        <v>0.14699999999999999</v>
      </c>
      <c r="G49" s="30">
        <v>7.6999999999999999E-2</v>
      </c>
      <c r="H49" s="41">
        <f t="shared" si="109"/>
        <v>0.13684962092104389</v>
      </c>
      <c r="I49" s="5">
        <v>20711</v>
      </c>
      <c r="J49" s="6">
        <v>1906</v>
      </c>
      <c r="K49" s="38">
        <v>22617</v>
      </c>
      <c r="L49" s="8">
        <v>35087</v>
      </c>
      <c r="M49" s="43">
        <v>4507</v>
      </c>
      <c r="O49" s="24">
        <v>45716</v>
      </c>
      <c r="P49" s="55">
        <f t="shared" si="120"/>
        <v>0.33362484722596375</v>
      </c>
      <c r="Q49" s="78">
        <f t="shared" si="121"/>
        <v>1.0180120464681339</v>
      </c>
      <c r="R49" s="80">
        <f t="shared" si="122"/>
        <v>0.40465640000926117</v>
      </c>
      <c r="S49" s="55">
        <f t="shared" si="123"/>
        <v>-0.31945006941266307</v>
      </c>
      <c r="T49" s="78">
        <f t="shared" si="124"/>
        <v>-0.19465113727901495</v>
      </c>
      <c r="U49" s="80">
        <f t="shared" si="125"/>
        <v>-0.32753707210595018</v>
      </c>
      <c r="V49" s="55">
        <f t="shared" si="126"/>
        <v>-9.0677454081280695E-2</v>
      </c>
      <c r="W49" s="78">
        <f t="shared" si="127"/>
        <v>0.63227575968817895</v>
      </c>
      <c r="X49" s="80">
        <f t="shared" si="106"/>
        <v>-5.5420644564656674E-2</v>
      </c>
      <c r="Y49" s="55">
        <f t="shared" si="128"/>
        <v>0.38530480101073916</v>
      </c>
      <c r="Z49" s="81">
        <f t="shared" si="129"/>
        <v>-0.26452349869451697</v>
      </c>
    </row>
    <row r="50" spans="2:26">
      <c r="B50" s="24">
        <v>45741</v>
      </c>
      <c r="C50" s="5">
        <v>157969</v>
      </c>
      <c r="D50" s="6">
        <v>20925</v>
      </c>
      <c r="E50" s="38">
        <v>178894</v>
      </c>
      <c r="F50" s="7">
        <v>0.19600000000000001</v>
      </c>
      <c r="G50" s="30">
        <v>7.4999999999999997E-2</v>
      </c>
      <c r="H50" s="41">
        <f t="shared" si="109"/>
        <v>0.18169977752188446</v>
      </c>
      <c r="I50" s="5">
        <v>30935</v>
      </c>
      <c r="J50" s="6">
        <v>1570</v>
      </c>
      <c r="K50" s="38">
        <v>32505</v>
      </c>
      <c r="L50" s="8">
        <v>40681</v>
      </c>
      <c r="M50" s="43">
        <v>4103</v>
      </c>
      <c r="O50" s="24">
        <v>45747</v>
      </c>
      <c r="P50" s="55">
        <f t="shared" ref="P50" si="130">IF(AND(C38&lt;=0,C50&gt;0),"흑전",IF(AND(C38&lt;=0,C50&lt;=0),"적지",IF(AND(C38&gt;0,C50&lt;=0),"적전",C50/C38-1)))</f>
        <v>0.29545474152557949</v>
      </c>
      <c r="Q50" s="78">
        <f t="shared" ref="Q50" si="131">IF(AND(D38&lt;=0,D50&gt;0),"흑전",IF(AND(D38&lt;=0,D50&lt;=0),"적지",IF(AND(D38&gt;0,D50&lt;=0),"적전",D50/D38-1)))</f>
        <v>0.58328711773093689</v>
      </c>
      <c r="R50" s="80">
        <f t="shared" ref="R50" si="132">IF(AND(E38&lt;=0,E50&gt;0),"흑전",IF(AND(E38&lt;=0,E50&lt;=0),"적지",IF(AND(E38&gt;0,E50&lt;=0),"적전",E50/E38-1)))</f>
        <v>0.3236000777212602</v>
      </c>
      <c r="S50" s="55">
        <f t="shared" ref="S50" si="133">IF(AND(F38&lt;=0,F50&gt;0),"흑전",IF(AND(F38&lt;=0,F50&lt;=0),"적지",IF(AND(F38&gt;0,F50&lt;=0),"적전",F50/F38-1)))</f>
        <v>0.13064131857543626</v>
      </c>
      <c r="T50" s="78">
        <f t="shared" ref="T50" si="134">IF(AND(G38&lt;=0,G50&gt;0),"흑전",IF(AND(G38&lt;=0,G50&lt;=0),"적지",IF(AND(G38&gt;0,G50&lt;=0),"적전",G50/G38-1)))</f>
        <v>-5.3334876836088174E-2</v>
      </c>
      <c r="U50" s="80">
        <f t="shared" ref="U50" si="135">IF(AND(H38&lt;=0,H50&gt;0),"흑전",IF(AND(H38&lt;=0,H50&lt;=0),"적지",IF(AND(H38&gt;0,H50&lt;=0),"적전",H50/H38-1)))</f>
        <v>0.10692111417358352</v>
      </c>
      <c r="V50" s="55">
        <f t="shared" ref="V50" si="136">IF(AND(I38&lt;=0,I50&gt;0),"흑전",IF(AND(I38&lt;=0,I50&lt;=0),"적지",IF(AND(I38&gt;0,I50&lt;=0),"적전",I50/I38-1)))</f>
        <v>0.46342098177746882</v>
      </c>
      <c r="W50" s="78">
        <f t="shared" ref="W50" si="137">IF(AND(J38&lt;=0,J50&gt;0),"흑전",IF(AND(J38&lt;=0,J50&lt;=0),"적지",IF(AND(J38&gt;0,J50&lt;=0),"적전",J50/J38-1)))</f>
        <v>0.49943960498136541</v>
      </c>
      <c r="X50" s="80">
        <f t="shared" ref="X50" si="138">IF(AND(K38&lt;=0,K50&gt;0),"흑전",IF(AND(K38&lt;=0,K50&lt;=0),"적지",IF(AND(K38&gt;0,K50&lt;=0),"적전",K50/K38-1)))</f>
        <v>0.46512087275145908</v>
      </c>
      <c r="Y50" s="55">
        <f t="shared" ref="Y50" si="139">IF(AND(L38&lt;=0,L50&gt;0),"흑전",IF(AND(L38&lt;=0,L50&lt;=0),"적지",IF(AND(L38&gt;0,L50&lt;=0),"적전",L50/L38-1)))</f>
        <v>0.46974240398858336</v>
      </c>
      <c r="Z50" s="81">
        <f t="shared" ref="Z50" si="140">IF(AND(M38&lt;=0,M50&gt;0),"흑전",IF(AND(M38&lt;=0,M50&lt;=0),"적지",IF(AND(M38&gt;0,M50&lt;=0),"적전",M50/M38-1)))</f>
        <v>-0.25223254966283948</v>
      </c>
    </row>
    <row r="51" spans="2:26">
      <c r="B51" s="24">
        <v>45772</v>
      </c>
      <c r="C51" s="5">
        <v>188836</v>
      </c>
      <c r="D51" s="6">
        <v>21646</v>
      </c>
      <c r="E51" s="38">
        <v>210482</v>
      </c>
      <c r="F51" s="7">
        <v>0.16500000000000001</v>
      </c>
      <c r="G51" s="30">
        <v>8.1000000000000003E-2</v>
      </c>
      <c r="H51" s="41">
        <f t="shared" si="109"/>
        <v>0.15621288281183188</v>
      </c>
      <c r="I51" s="5">
        <v>31126</v>
      </c>
      <c r="J51" s="6">
        <v>1754</v>
      </c>
      <c r="K51" s="38">
        <v>32880</v>
      </c>
      <c r="L51" s="8">
        <v>45753</v>
      </c>
      <c r="M51" s="43">
        <v>7113</v>
      </c>
      <c r="O51" s="24">
        <v>45777</v>
      </c>
      <c r="P51" s="55">
        <f t="shared" ref="P51" si="141">IF(AND(C39&lt;=0,C51&gt;0),"흑전",IF(AND(C39&lt;=0,C51&lt;=0),"적지",IF(AND(C39&gt;0,C51&lt;=0),"적전",C51/C39-1)))</f>
        <v>0.47169138080900597</v>
      </c>
      <c r="Q51" s="78">
        <f t="shared" ref="Q51" si="142">IF(AND(D39&lt;=0,D51&gt;0),"흑전",IF(AND(D39&lt;=0,D51&lt;=0),"적지",IF(AND(D39&gt;0,D51&lt;=0),"적전",D51/D39-1)))</f>
        <v>0.82722692867459147</v>
      </c>
      <c r="R51" s="80">
        <f t="shared" ref="R51" si="143">IF(AND(E39&lt;=0,E51&gt;0),"흑전",IF(AND(E39&lt;=0,E51&lt;=0),"적지",IF(AND(E39&gt;0,E51&lt;=0),"적전",E51/E39-1)))</f>
        <v>0.50174165664797354</v>
      </c>
      <c r="S51" s="55">
        <f t="shared" ref="S51" si="144">IF(AND(F39&lt;=0,F51&gt;0),"흑전",IF(AND(F39&lt;=0,F51&lt;=0),"적지",IF(AND(F39&gt;0,F51&lt;=0),"적전",F51/F39-1)))</f>
        <v>8.463570216708094E-2</v>
      </c>
      <c r="T51" s="78">
        <f t="shared" ref="T51" si="145">IF(AND(G39&lt;=0,G51&gt;0),"흑전",IF(AND(G39&lt;=0,G51&lt;=0),"적지",IF(AND(G39&gt;0,G51&lt;=0),"적전",G51/G39-1)))</f>
        <v>9.9727578399934069E-2</v>
      </c>
      <c r="U51" s="80">
        <f t="shared" ref="U51" si="146">IF(AND(H39&lt;=0,H51&gt;0),"흑전",IF(AND(H39&lt;=0,H51&lt;=0),"적지",IF(AND(H39&gt;0,H51&lt;=0),"적전",H51/H39-1)))</f>
        <v>7.3684014894814798E-2</v>
      </c>
      <c r="V51" s="55">
        <f t="shared" ref="V51" si="147">IF(AND(I39&lt;=0,I51&gt;0),"흑전",IF(AND(I39&lt;=0,I51&lt;=0),"적지",IF(AND(I39&gt;0,I51&lt;=0),"적전",I51/I39-1)))</f>
        <v>0.59461269955254914</v>
      </c>
      <c r="W51" s="78">
        <f t="shared" ref="W51" si="148">IF(AND(J39&lt;=0,J51&gt;0),"흑전",IF(AND(J39&lt;=0,J51&lt;=0),"적지",IF(AND(J39&gt;0,J51&lt;=0),"적전",J51/J39-1)))</f>
        <v>1.0102243033720679</v>
      </c>
      <c r="X51" s="80">
        <f t="shared" ref="X51" si="149">IF(AND(K39&lt;=0,K51&gt;0),"흑전",IF(AND(K39&lt;=0,K51&lt;=0),"적지",IF(AND(K39&gt;0,K51&lt;=0),"적전",K51/K39-1)))</f>
        <v>0.61239601124458676</v>
      </c>
      <c r="Y51" s="55">
        <f t="shared" ref="Y51" si="150">IF(AND(L39&lt;=0,L51&gt;0),"흑전",IF(AND(L39&lt;=0,L51&lt;=0),"적지",IF(AND(L39&gt;0,L51&lt;=0),"적전",L51/L39-1)))</f>
        <v>0.62625293239496704</v>
      </c>
      <c r="Z51" s="81">
        <f t="shared" ref="Z51" si="151">IF(AND(M39&lt;=0,M51&gt;0),"흑전",IF(AND(M39&lt;=0,M51&lt;=0),"적지",IF(AND(M39&gt;0,M51&lt;=0),"적전",M51/M39-1)))</f>
        <v>-5.0333778371161597E-2</v>
      </c>
    </row>
    <row r="52" spans="2:26">
      <c r="B52" s="24">
        <v>45802</v>
      </c>
      <c r="C52" s="5">
        <v>194191</v>
      </c>
      <c r="D52" s="6">
        <v>22143</v>
      </c>
      <c r="E52" s="38">
        <v>216334</v>
      </c>
      <c r="F52" s="7">
        <v>0.20300000000000001</v>
      </c>
      <c r="G52" s="30">
        <v>8.8999999999999996E-2</v>
      </c>
      <c r="H52" s="41">
        <f t="shared" si="109"/>
        <v>0.19118585150739134</v>
      </c>
      <c r="I52" s="5">
        <v>39396</v>
      </c>
      <c r="J52" s="6">
        <v>1964</v>
      </c>
      <c r="K52" s="38">
        <v>41360</v>
      </c>
      <c r="L52" s="8">
        <v>51207</v>
      </c>
      <c r="M52" s="43">
        <v>7923</v>
      </c>
      <c r="O52" s="24">
        <v>45808</v>
      </c>
      <c r="P52" s="55">
        <f t="shared" ref="P52" si="152">IF(AND(C40&lt;=0,C52&gt;0),"흑전",IF(AND(C40&lt;=0,C52&lt;=0),"적지",IF(AND(C40&gt;0,C52&lt;=0),"적전",C52/C40-1)))</f>
        <v>0.77823938852395647</v>
      </c>
      <c r="Q52" s="78">
        <f t="shared" ref="Q52" si="153">IF(AND(D40&lt;=0,D52&gt;0),"흑전",IF(AND(D40&lt;=0,D52&lt;=0),"적지",IF(AND(D40&gt;0,D52&lt;=0),"적전",D52/D40-1)))</f>
        <v>-0.28029281145676666</v>
      </c>
      <c r="R52" s="80">
        <f t="shared" ref="R52" si="154">IF(AND(E40&lt;=0,E52&gt;0),"흑전",IF(AND(E40&lt;=0,E52&lt;=0),"적지",IF(AND(E40&gt;0,E52&lt;=0),"적전",E52/E40-1)))</f>
        <v>0.54556564920211814</v>
      </c>
      <c r="S52" s="55">
        <f t="shared" ref="S52" si="155">IF(AND(F40&lt;=0,F52&gt;0),"흑전",IF(AND(F40&lt;=0,F52&lt;=0),"적지",IF(AND(F40&gt;0,F52&lt;=0),"적전",F52/F40-1)))</f>
        <v>-9.6787228053193952E-2</v>
      </c>
      <c r="T52" s="78">
        <f t="shared" ref="T52" si="156">IF(AND(G40&lt;=0,G52&gt;0),"흑전",IF(AND(G40&lt;=0,G52&lt;=0),"적지",IF(AND(G40&gt;0,G52&lt;=0),"적전",G52/G40-1)))</f>
        <v>6.6354412059046242E-2</v>
      </c>
      <c r="U52" s="80">
        <f t="shared" ref="U52" si="157">IF(AND(H40&lt;=0,H52&gt;0),"흑전",IF(AND(H40&lt;=0,H52&lt;=0),"적지",IF(AND(H40&gt;0,H52&lt;=0),"적전",H52/H40-1)))</f>
        <v>-1.2960731344278442E-2</v>
      </c>
      <c r="V52" s="55">
        <f t="shared" ref="V52" si="158">IF(AND(I40&lt;=0,I52&gt;0),"흑전",IF(AND(I40&lt;=0,I52&lt;=0),"적지",IF(AND(I40&gt;0,I52&lt;=0),"적전",I52/I40-1)))</f>
        <v>0.60511919594431185</v>
      </c>
      <c r="W52" s="78">
        <f t="shared" ref="W52" si="159">IF(AND(J40&lt;=0,J52&gt;0),"흑전",IF(AND(J40&lt;=0,J52&lt;=0),"적지",IF(AND(J40&gt;0,J52&lt;=0),"적전",J52/J40-1)))</f>
        <v>-0.23515676900189386</v>
      </c>
      <c r="X52" s="80">
        <f t="shared" ref="X52" si="160">IF(AND(K40&lt;=0,K52&gt;0),"흑전",IF(AND(K40&lt;=0,K52&lt;=0),"적지",IF(AND(K40&gt;0,K52&lt;=0),"적전",K52/K40-1)))</f>
        <v>0.525533988047864</v>
      </c>
      <c r="Y52" s="55">
        <f>IF(AND(L40&lt;=0,L52&gt;0),"흑전",IF(AND(L40&lt;=0,L52&lt;=0),"적지",IF(AND(L40&gt;0,L52&lt;=0),"적전",L52/L40-1)))</f>
        <v>0.72153303076147246</v>
      </c>
      <c r="Z52" s="81">
        <f t="shared" ref="Z52" si="161">IF(AND(M40&lt;=0,M52&gt;0),"흑전",IF(AND(M40&lt;=0,M52&lt;=0),"적지",IF(AND(M40&gt;0,M52&lt;=0),"적전",M52/M40-1)))</f>
        <v>2.4172699069286541E-2</v>
      </c>
    </row>
    <row r="53" spans="2:26">
      <c r="B53" s="24">
        <v>45833</v>
      </c>
      <c r="C53" s="5">
        <v>219211</v>
      </c>
      <c r="D53" s="6">
        <v>22496</v>
      </c>
      <c r="E53" s="38">
        <v>241707</v>
      </c>
      <c r="F53" s="7">
        <v>0.157</v>
      </c>
      <c r="G53" s="30">
        <v>6.4000000000000001E-2</v>
      </c>
      <c r="H53" s="41">
        <f t="shared" si="109"/>
        <v>0.14810907420968364</v>
      </c>
      <c r="I53" s="5">
        <v>34362</v>
      </c>
      <c r="J53" s="6">
        <v>1437</v>
      </c>
      <c r="K53" s="38">
        <v>35799</v>
      </c>
      <c r="L53" s="8">
        <v>51515</v>
      </c>
      <c r="M53" s="43">
        <v>6830</v>
      </c>
      <c r="O53" s="24">
        <v>45838</v>
      </c>
      <c r="P53" s="55">
        <f t="shared" ref="P53" si="162">IF(AND(C41&lt;=0,C53&gt;0),"흑전",IF(AND(C41&lt;=0,C53&lt;=0),"적지",IF(AND(C41&gt;0,C53&lt;=0),"적전",C53/C41-1)))</f>
        <v>0.89551984803259277</v>
      </c>
      <c r="Q53" s="78">
        <f t="shared" ref="Q53" si="163">IF(AND(D41&lt;=0,D53&gt;0),"흑전",IF(AND(D41&lt;=0,D53&lt;=0),"적지",IF(AND(D41&gt;0,D53&lt;=0),"적전",D53/D41-1)))</f>
        <v>0.56016755728241474</v>
      </c>
      <c r="R53" s="80">
        <f t="shared" ref="R53" si="164">IF(AND(E41&lt;=0,E53&gt;0),"흑전",IF(AND(E41&lt;=0,E53&lt;=0),"적지",IF(AND(E41&gt;0,E53&lt;=0),"적전",E53/E41-1)))</f>
        <v>0.85834304869783651</v>
      </c>
      <c r="S53" s="55">
        <f t="shared" ref="S53" si="165">IF(AND(F41&lt;=0,F53&gt;0),"흑전",IF(AND(F41&lt;=0,F53&lt;=0),"적지",IF(AND(F41&gt;0,F53&lt;=0),"적전",F53/F41-1)))</f>
        <v>1.770534864144313E-2</v>
      </c>
      <c r="T53" s="78">
        <f t="shared" ref="T53" si="166">IF(AND(G41&lt;=0,G53&gt;0),"흑전",IF(AND(G41&lt;=0,G53&lt;=0),"적지",IF(AND(G41&gt;0,G53&lt;=0),"적전",G53/G41-1)))</f>
        <v>-0.22714363956419392</v>
      </c>
      <c r="U53" s="80">
        <f t="shared" ref="U53" si="167">IF(AND(H41&lt;=0,H53&gt;0),"흑전",IF(AND(H41&lt;=0,H53&lt;=0),"적지",IF(AND(H41&gt;0,H53&lt;=0),"적전",H53/H41-1)))</f>
        <v>1.2042046761534309E-2</v>
      </c>
      <c r="V53" s="55">
        <f t="shared" ref="V53" si="168">IF(AND(I41&lt;=0,I53&gt;0),"흑전",IF(AND(I41&lt;=0,I53&lt;=0),"적지",IF(AND(I41&gt;0,I53&lt;=0),"적전",I53/I41-1)))</f>
        <v>0.92604678016622377</v>
      </c>
      <c r="W53" s="78">
        <f t="shared" ref="W53" si="169">IF(AND(J41&lt;=0,J53&gt;0),"흑전",IF(AND(J41&lt;=0,J53&lt;=0),"적지",IF(AND(J41&gt;0,J53&lt;=0),"적전",J53/J41-1)))</f>
        <v>0.20348732033438655</v>
      </c>
      <c r="X53" s="80">
        <f t="shared" ref="X53" si="170">IF(AND(K41&lt;=0,K53&gt;0),"흑전",IF(AND(K41&lt;=0,K53&lt;=0),"적지",IF(AND(K41&gt;0,K53&lt;=0),"적전",K53/K41-1)))</f>
        <v>0.88072130258922776</v>
      </c>
      <c r="Y53" s="55">
        <f t="shared" ref="Y53" si="171">IF(AND(L41&lt;=0,L53&gt;0),"흑전",IF(AND(L41&lt;=0,L53&lt;=0),"적지",IF(AND(L41&gt;0,L53&lt;=0),"적전",L53/L41-1)))</f>
        <v>0.78908800444537053</v>
      </c>
      <c r="Z53" s="81">
        <f t="shared" ref="Z53" si="172">IF(AND(M41&lt;=0,M53&gt;0),"흑전",IF(AND(M41&lt;=0,M53&lt;=0),"적지",IF(AND(M41&gt;0,M53&lt;=0),"적전",M53/M41-1)))</f>
        <v>-0.13258826517653033</v>
      </c>
    </row>
    <row r="54" spans="2:26">
      <c r="B54" s="24">
        <v>45863</v>
      </c>
      <c r="C54" s="5">
        <v>240566</v>
      </c>
      <c r="D54" s="6">
        <v>33628</v>
      </c>
      <c r="E54" s="38">
        <v>274194</v>
      </c>
      <c r="F54" s="7">
        <v>0.17299999999999999</v>
      </c>
      <c r="G54" s="30">
        <v>5.5E-2</v>
      </c>
      <c r="H54" s="41">
        <f t="shared" si="109"/>
        <v>0.15832950392787587</v>
      </c>
      <c r="I54" s="5">
        <v>41549</v>
      </c>
      <c r="J54" s="6">
        <v>1864</v>
      </c>
      <c r="K54" s="38">
        <v>43413</v>
      </c>
      <c r="L54" s="8">
        <v>56691</v>
      </c>
      <c r="M54" s="43">
        <v>7879</v>
      </c>
      <c r="O54" s="24">
        <f t="shared" ref="O54:O59" si="173">+B54</f>
        <v>45863</v>
      </c>
      <c r="P54" s="55">
        <f t="shared" ref="P54" si="174">IF(AND(C42&lt;=0,C54&gt;0),"흑전",IF(AND(C42&lt;=0,C54&lt;=0),"적지",IF(AND(C42&gt;0,C54&lt;=0),"적전",C54/C42-1)))</f>
        <v>0.93389246427303974</v>
      </c>
      <c r="Q54" s="78">
        <f t="shared" ref="Q54" si="175">IF(AND(D42&lt;=0,D54&gt;0),"흑전",IF(AND(D42&lt;=0,D54&lt;=0),"적지",IF(AND(D42&gt;0,D54&lt;=0),"적전",D54/D42-1)))</f>
        <v>0.75782116345976958</v>
      </c>
      <c r="R54" s="80">
        <f t="shared" ref="R54" si="176">IF(AND(E42&lt;=0,E54&gt;0),"흑전",IF(AND(E42&lt;=0,E54&lt;=0),"적지",IF(AND(E42&gt;0,E54&lt;=0),"적전",E54/E42-1)))</f>
        <v>0.91042388951784892</v>
      </c>
      <c r="S54" s="55">
        <f t="shared" ref="S54" si="177">IF(AND(F42&lt;=0,F54&gt;0),"흑전",IF(AND(F42&lt;=0,F54&lt;=0),"적지",IF(AND(F42&gt;0,F54&lt;=0),"적전",F54/F42-1)))</f>
        <v>3.0496248908840284E-2</v>
      </c>
      <c r="T54" s="78">
        <f t="shared" ref="T54" si="178">IF(AND(G42&lt;=0,G54&gt;0),"흑전",IF(AND(G42&lt;=0,G54&lt;=0),"적지",IF(AND(G42&gt;0,G54&lt;=0),"적전",G54/G42-1)))</f>
        <v>-0.46577060810188364</v>
      </c>
      <c r="U54" s="80">
        <f t="shared" ref="U54" si="179">IF(AND(H42&lt;=0,H54&gt;0),"흑전",IF(AND(H42&lt;=0,H54&lt;=0),"적지",IF(AND(H42&gt;0,H54&lt;=0),"적전",H54/H42-1)))</f>
        <v>-5.6302311002897065E-3</v>
      </c>
      <c r="V54" s="55">
        <f t="shared" ref="V54" si="180">IF(AND(I42&lt;=0,I54&gt;0),"흑전",IF(AND(I42&lt;=0,I54&lt;=0),"적지",IF(AND(I42&gt;0,I54&lt;=0),"적전",I54/I42-1)))</f>
        <v>0.98956880019751092</v>
      </c>
      <c r="W54" s="78">
        <f t="shared" ref="W54" si="181">IF(AND(J42&lt;=0,J54&gt;0),"흑전",IF(AND(J42&lt;=0,J54&lt;=0),"적지",IF(AND(J42&gt;0,J54&lt;=0),"적전",J54/J42-1)))</f>
        <v>-5.3578393008271386E-2</v>
      </c>
      <c r="X54" s="80">
        <f t="shared" ref="X54" si="182">IF(AND(K42&lt;=0,K54&gt;0),"흑전",IF(AND(K42&lt;=0,K54&lt;=0),"적지",IF(AND(K42&gt;0,K54&lt;=0),"적전",K54/K42-1)))</f>
        <v>0.89966776152034944</v>
      </c>
      <c r="Y54" s="55">
        <f t="shared" ref="Y54" si="183">IF(AND(L42&lt;=0,L54&gt;0),"흑전",IF(AND(L42&lt;=0,L54&lt;=0),"적지",IF(AND(L42&gt;0,L54&lt;=0),"적전",L54/L42-1)))</f>
        <v>0.65400437636761488</v>
      </c>
      <c r="Z54" s="81">
        <f t="shared" ref="Z54" si="184">IF(AND(M42&lt;=0,M54&gt;0),"흑전",IF(AND(M42&lt;=0,M54&lt;=0),"적지",IF(AND(M42&gt;0,M54&lt;=0),"적전",M54/M42-1)))</f>
        <v>-0.14747890067085045</v>
      </c>
    </row>
    <row r="55" spans="2:26">
      <c r="B55" s="24">
        <v>45894</v>
      </c>
      <c r="C55" s="5">
        <v>251497</v>
      </c>
      <c r="D55" s="6">
        <v>29587</v>
      </c>
      <c r="E55" s="38">
        <v>281083</v>
      </c>
      <c r="F55" s="7">
        <v>0.16400000000000001</v>
      </c>
      <c r="G55" s="30">
        <v>6.2E-2</v>
      </c>
      <c r="H55" s="41">
        <f t="shared" si="109"/>
        <v>0.15293703283371815</v>
      </c>
      <c r="I55" s="5">
        <v>41165</v>
      </c>
      <c r="J55" s="6">
        <v>1823</v>
      </c>
      <c r="K55" s="38">
        <v>42988</v>
      </c>
      <c r="L55" s="8">
        <v>57042</v>
      </c>
      <c r="M55" s="43">
        <v>8368</v>
      </c>
      <c r="O55" s="24">
        <f t="shared" si="173"/>
        <v>45894</v>
      </c>
      <c r="P55" s="55">
        <f t="shared" ref="P55" si="185">IF(AND(C43&lt;=0,C55&gt;0),"흑전",IF(AND(C43&lt;=0,C55&lt;=0),"적지",IF(AND(C43&gt;0,C55&lt;=0),"적전",C55/C43-1)))</f>
        <v>0.57600571544820345</v>
      </c>
      <c r="Q55" s="78">
        <f t="shared" ref="Q55" si="186">IF(AND(D43&lt;=0,D55&gt;0),"흑전",IF(AND(D43&lt;=0,D55&lt;=0),"적지",IF(AND(D43&gt;0,D55&lt;=0),"적전",D55/D43-1)))</f>
        <v>1.8225911683456886E-2</v>
      </c>
      <c r="R55" s="80">
        <f t="shared" ref="R55" si="187">IF(AND(E43&lt;=0,E55&gt;0),"흑전",IF(AND(E43&lt;=0,E55&lt;=0),"적지",IF(AND(E43&gt;0,E55&lt;=0),"적전",E55/E43-1)))</f>
        <v>0.49008033379575333</v>
      </c>
      <c r="S55" s="55">
        <f t="shared" ref="S55" si="188">IF(AND(F43&lt;=0,F55&gt;0),"흑전",IF(AND(F43&lt;=0,F55&lt;=0),"적지",IF(AND(F43&gt;0,F55&lt;=0),"적전",F55/F43-1)))</f>
        <v>-0.11948111553110863</v>
      </c>
      <c r="T55" s="78">
        <f t="shared" ref="T55" si="189">IF(AND(G43&lt;=0,G55&gt;0),"흑전",IF(AND(G43&lt;=0,G55&lt;=0),"적지",IF(AND(G43&gt;0,G55&lt;=0),"적전",G55/G43-1)))</f>
        <v>-0.44186203816383418</v>
      </c>
      <c r="U55" s="80">
        <f t="shared" ref="U55" si="190">IF(AND(H43&lt;=0,H55&gt;0),"흑전",IF(AND(H43&lt;=0,H55&lt;=0),"적지",IF(AND(H43&gt;0,H55&lt;=0),"적전",H55/H43-1)))</f>
        <v>-0.12444628899960231</v>
      </c>
      <c r="V55" s="55">
        <f t="shared" ref="V55" si="191">IF(AND(I43&lt;=0,I55&gt;0),"흑전",IF(AND(I43&lt;=0,I55&lt;=0),"적지",IF(AND(I43&gt;0,I55&lt;=0),"적전",I55/I43-1)))</f>
        <v>0.38499410735575657</v>
      </c>
      <c r="W55" s="78">
        <f t="shared" ref="W55" si="192">IF(AND(J43&lt;=0,J55&gt;0),"흑전",IF(AND(J43&lt;=0,J55&lt;=0),"적지",IF(AND(J43&gt;0,J55&lt;=0),"적전",J55/J43-1)))</f>
        <v>-0.43521942103483746</v>
      </c>
      <c r="X55" s="80">
        <f t="shared" ref="X55" si="193">IF(AND(K43&lt;=0,K55&gt;0),"흑전",IF(AND(K43&lt;=0,K55&lt;=0),"적지",IF(AND(K43&gt;0,K55&lt;=0),"적전",K55/K43-1)))</f>
        <v>0.30464536594358305</v>
      </c>
      <c r="Y55" s="55">
        <f t="shared" ref="Y55" si="194">IF(AND(L43&lt;=0,L55&gt;0),"흑전",IF(AND(L43&lt;=0,L55&lt;=0),"적지",IF(AND(L43&gt;0,L55&lt;=0),"적전",L55/L43-1)))</f>
        <v>0.52136341814690357</v>
      </c>
      <c r="Z55" s="81">
        <f t="shared" ref="Z55" si="195">IF(AND(M43&lt;=0,M55&gt;0),"흑전",IF(AND(M43&lt;=0,M55&lt;=0),"적지",IF(AND(M43&gt;0,M55&lt;=0),"적전",M55/M43-1)))</f>
        <v>-0.15670664113675303</v>
      </c>
    </row>
    <row r="56" spans="2:26">
      <c r="B56" s="24">
        <v>45925</v>
      </c>
      <c r="C56" s="5">
        <v>265801</v>
      </c>
      <c r="D56" s="6">
        <v>27467</v>
      </c>
      <c r="E56" s="38">
        <v>293267</v>
      </c>
      <c r="F56" s="7">
        <v>0.192</v>
      </c>
      <c r="G56" s="30">
        <v>6.7000000000000004E-2</v>
      </c>
      <c r="H56" s="41">
        <f t="shared" si="109"/>
        <v>0.18054537332874138</v>
      </c>
      <c r="I56" s="5">
        <v>51115</v>
      </c>
      <c r="J56" s="6">
        <v>1832</v>
      </c>
      <c r="K56" s="38">
        <v>52948</v>
      </c>
      <c r="L56" s="8">
        <v>59050</v>
      </c>
      <c r="M56" s="43">
        <v>6933</v>
      </c>
      <c r="O56" s="24">
        <f t="shared" si="173"/>
        <v>45925</v>
      </c>
      <c r="P56" s="55">
        <f t="shared" ref="P56" si="196">IF(AND(C44&lt;=0,C56&gt;0),"흑전",IF(AND(C44&lt;=0,C56&lt;=0),"적지",IF(AND(C44&gt;0,C56&lt;=0),"적전",C56/C44-1)))</f>
        <v>1.0539153851090384</v>
      </c>
      <c r="Q56" s="78">
        <f t="shared" ref="Q56" si="197">IF(AND(D44&lt;=0,D56&gt;0),"흑전",IF(AND(D44&lt;=0,D56&lt;=0),"적지",IF(AND(D44&gt;0,D56&lt;=0),"적전",D56/D44-1)))</f>
        <v>0.95866935736992409</v>
      </c>
      <c r="R56" s="80">
        <f t="shared" ref="R56" si="198">IF(AND(E44&lt;=0,E56&gt;0),"흑전",IF(AND(E44&lt;=0,E56&lt;=0),"적지",IF(AND(E44&gt;0,E56&lt;=0),"적전",E56/E44-1)))</f>
        <v>1.044596447433908</v>
      </c>
      <c r="S56" s="55">
        <f t="shared" ref="S56" si="199">IF(AND(F44&lt;=0,F56&gt;0),"흑전",IF(AND(F44&lt;=0,F56&lt;=0),"적지",IF(AND(F44&gt;0,F56&lt;=0),"적전",F56/F44-1)))</f>
        <v>-8.4982400745121756E-2</v>
      </c>
      <c r="T56" s="78">
        <f t="shared" ref="T56" si="200">IF(AND(G44&lt;=0,G56&gt;0),"흑전",IF(AND(G44&lt;=0,G56&lt;=0),"적지",IF(AND(G44&gt;0,G56&lt;=0),"적전",G56/G44-1)))</f>
        <v>-0.2588530531758898</v>
      </c>
      <c r="U56" s="80">
        <f t="shared" ref="U56" si="201">IF(AND(H44&lt;=0,H56&gt;0),"흑전",IF(AND(H44&lt;=0,H56&lt;=0),"적지",IF(AND(H44&gt;0,H56&lt;=0),"적전",H56/H44-1)))</f>
        <v>-8.8870241562286179E-2</v>
      </c>
      <c r="V56" s="55">
        <f t="shared" ref="V56" si="202">IF(AND(I44&lt;=0,I56&gt;0),"흑전",IF(AND(I44&lt;=0,I56&lt;=0),"적지",IF(AND(I44&gt;0,I56&lt;=0),"적전",I56/I44-1)))</f>
        <v>0.88235928785888595</v>
      </c>
      <c r="W56" s="78">
        <f t="shared" ref="W56" si="203">IF(AND(J44&lt;=0,J56&gt;0),"흑전",IF(AND(J44&lt;=0,J56&lt;=0),"적지",IF(AND(J44&gt;0,J56&lt;=0),"적전",J56/J44-1)))</f>
        <v>0.44512326234872623</v>
      </c>
      <c r="X56" s="80">
        <f t="shared" ref="X56" si="204">IF(AND(K44&lt;=0,K56&gt;0),"흑전",IF(AND(K44&lt;=0,K56&lt;=0),"적지",IF(AND(K44&gt;0,K56&lt;=0),"적전",K56/K44-1)))</f>
        <v>0.86289266725306435</v>
      </c>
      <c r="Y56" s="55">
        <f t="shared" ref="Y56" si="205">IF(AND(L44&lt;=0,L56&gt;0),"흑전",IF(AND(L44&lt;=0,L56&lt;=0),"적지",IF(AND(L44&gt;0,L56&lt;=0),"적전",L56/L44-1)))</f>
        <v>0.65110166648025958</v>
      </c>
      <c r="Z56" s="81">
        <f t="shared" ref="Z56" si="206">IF(AND(M44&lt;=0,M56&gt;0),"흑전",IF(AND(M44&lt;=0,M56&lt;=0),"적지",IF(AND(M44&gt;0,M56&lt;=0),"적전",M56/M44-1)))</f>
        <v>1.746404461402995E-2</v>
      </c>
    </row>
    <row r="57" spans="2:26">
      <c r="B57" s="24">
        <v>45955</v>
      </c>
      <c r="C57" s="5">
        <v>256841</v>
      </c>
      <c r="D57" s="6">
        <v>27602</v>
      </c>
      <c r="E57" s="38">
        <v>284443</v>
      </c>
      <c r="F57" s="7">
        <v>0.188</v>
      </c>
      <c r="G57" s="30">
        <v>7.4999999999999997E-2</v>
      </c>
      <c r="H57" s="41">
        <f t="shared" ref="H57" si="207">K57/E57</f>
        <v>0.17714269642775529</v>
      </c>
      <c r="I57" s="5">
        <v>48327</v>
      </c>
      <c r="J57" s="6">
        <v>2060</v>
      </c>
      <c r="K57" s="38">
        <v>50387</v>
      </c>
      <c r="L57" s="8">
        <v>58166</v>
      </c>
      <c r="M57" s="43">
        <v>7442</v>
      </c>
      <c r="O57" s="24">
        <f t="shared" si="173"/>
        <v>45955</v>
      </c>
      <c r="P57" s="55">
        <f t="shared" ref="P57" si="208">IF(AND(C45&lt;=0,C57&gt;0),"흑전",IF(AND(C45&lt;=0,C57&lt;=0),"적지",IF(AND(C45&gt;0,C57&lt;=0),"적전",C57/C45-1)))</f>
        <v>0.87376625112367901</v>
      </c>
      <c r="Q57" s="78">
        <f t="shared" ref="Q57" si="209">IF(AND(D45&lt;=0,D57&gt;0),"흑전",IF(AND(D45&lt;=0,D57&lt;=0),"적지",IF(AND(D45&gt;0,D57&lt;=0),"적전",D57/D45-1)))</f>
        <v>0.63050308239507302</v>
      </c>
      <c r="R57" s="80">
        <f t="shared" ref="R57" si="210">IF(AND(E45&lt;=0,E57&gt;0),"흑전",IF(AND(E45&lt;=0,E57&lt;=0),"적지",IF(AND(E45&gt;0,E57&lt;=0),"적전",E57/E45-1)))</f>
        <v>0.84702554092282822</v>
      </c>
      <c r="S57" s="55">
        <f t="shared" ref="S57" si="211">IF(AND(F45&lt;=0,F57&gt;0),"흑전",IF(AND(F45&lt;=0,F57&lt;=0),"적지",IF(AND(F45&gt;0,F57&lt;=0),"적전",F57/F45-1)))</f>
        <v>0.11356448524424567</v>
      </c>
      <c r="T57" s="78">
        <f t="shared" ref="T57" si="212">IF(AND(G45&lt;=0,G57&gt;0),"흑전",IF(AND(G45&lt;=0,G57&lt;=0),"적지",IF(AND(G45&gt;0,G57&lt;=0),"적전",G57/G45-1)))</f>
        <v>0.19916682568805033</v>
      </c>
      <c r="U57" s="80">
        <f t="shared" ref="U57" si="213">IF(AND(H45&lt;=0,H57&gt;0),"흑전",IF(AND(H45&lt;=0,H57&lt;=0),"적지",IF(AND(H45&gt;0,H57&lt;=0),"적전",H57/H45-1)))</f>
        <v>0.12726369320917641</v>
      </c>
      <c r="V57" s="55">
        <f t="shared" ref="V57" si="214">IF(AND(I45&lt;=0,I57&gt;0),"흑전",IF(AND(I45&lt;=0,I57&lt;=0),"적지",IF(AND(I45&gt;0,I57&lt;=0),"적전",I57/I45-1)))</f>
        <v>1.0883265931553714</v>
      </c>
      <c r="W57" s="78">
        <f t="shared" ref="W57" si="215">IF(AND(J45&lt;=0,J57&gt;0),"흑전",IF(AND(J45&lt;=0,J57&lt;=0),"적지",IF(AND(J45&gt;0,J57&lt;=0),"적전",J57/J45-1)))</f>
        <v>0.94565858682509929</v>
      </c>
      <c r="X57" s="80">
        <f t="shared" ref="X57" si="216">IF(AND(K45&lt;=0,K57&gt;0),"흑전",IF(AND(K45&lt;=0,K57&lt;=0),"적지",IF(AND(K45&gt;0,K57&lt;=0),"적전",K57/K45-1)))</f>
        <v>1.0820848327123445</v>
      </c>
      <c r="Y57" s="55">
        <f t="shared" ref="Y57" si="217">IF(AND(L45&lt;=0,L57&gt;0),"흑전",IF(AND(L45&lt;=0,L57&lt;=0),"적지",IF(AND(L45&gt;0,L57&lt;=0),"적전",L57/L45-1)))</f>
        <v>0.55890866209262446</v>
      </c>
      <c r="Z57" s="81">
        <f t="shared" ref="Z57" si="218">IF(AND(M45&lt;=0,M57&gt;0),"흑전",IF(AND(M45&lt;=0,M57&lt;=0),"적지",IF(AND(M45&gt;0,M57&lt;=0),"적전",M57/M45-1)))</f>
        <v>-3.3380958566047503E-2</v>
      </c>
    </row>
    <row r="58" spans="2:26">
      <c r="B58" s="24">
        <v>45986</v>
      </c>
      <c r="C58" s="5">
        <v>235785</v>
      </c>
      <c r="D58" s="6">
        <v>27011</v>
      </c>
      <c r="E58" s="38">
        <v>262796</v>
      </c>
      <c r="F58" s="7">
        <v>0.21099999999999999</v>
      </c>
      <c r="G58" s="30">
        <v>5.3999999999999999E-2</v>
      </c>
      <c r="H58" s="41">
        <f t="shared" ref="H58" si="219">K58/E58</f>
        <v>0.19532260765004034</v>
      </c>
      <c r="I58" s="5">
        <v>49863</v>
      </c>
      <c r="J58" s="6">
        <v>1467</v>
      </c>
      <c r="K58" s="38">
        <v>51330</v>
      </c>
      <c r="L58" s="8">
        <v>50620</v>
      </c>
      <c r="M58" s="43">
        <v>6459</v>
      </c>
      <c r="O58" s="24">
        <f t="shared" si="173"/>
        <v>45986</v>
      </c>
      <c r="P58" s="55">
        <f t="shared" ref="P58" si="220">IF(AND(C46&lt;=0,C58&gt;0),"흑전",IF(AND(C46&lt;=0,C58&lt;=0),"적지",IF(AND(C46&gt;0,C58&lt;=0),"적전",C58/C46-1)))</f>
        <v>0.77146098480864289</v>
      </c>
      <c r="Q58" s="78">
        <f t="shared" ref="Q58" si="221">IF(AND(D46&lt;=0,D58&gt;0),"흑전",IF(AND(D46&lt;=0,D58&lt;=0),"적지",IF(AND(D46&gt;0,D58&lt;=0),"적전",D58/D46-1)))</f>
        <v>0.84312521323780287</v>
      </c>
      <c r="R58" s="80">
        <f t="shared" ref="R58" si="222">IF(AND(E46&lt;=0,E58&gt;0),"흑전",IF(AND(E46&lt;=0,E58&lt;=0),"적지",IF(AND(E46&gt;0,E58&lt;=0),"적전",E58/E46-1)))</f>
        <v>0.77855682941025184</v>
      </c>
      <c r="S58" s="55">
        <f t="shared" ref="S58" si="223">IF(AND(F46&lt;=0,F58&gt;0),"흑전",IF(AND(F46&lt;=0,F58&lt;=0),"적지",IF(AND(F46&gt;0,F58&lt;=0),"적전",F58/F46-1)))</f>
        <v>0.12834224598930488</v>
      </c>
      <c r="T58" s="78">
        <f t="shared" ref="T58" si="224">IF(AND(G46&lt;=0,G58&gt;0),"흑전",IF(AND(G46&lt;=0,G58&lt;=0),"적지",IF(AND(G46&gt;0,G58&lt;=0),"적전",G58/G46-1)))</f>
        <v>-0.3493975903614458</v>
      </c>
      <c r="U58" s="80">
        <f t="shared" ref="U58" si="225">IF(AND(H46&lt;=0,H58&gt;0),"흑전",IF(AND(H46&lt;=0,H58&lt;=0),"적지",IF(AND(H46&gt;0,H58&lt;=0),"적전",H58/H46-1)))</f>
        <v>0.10657098505251561</v>
      </c>
      <c r="V58" s="55">
        <f t="shared" ref="V58" si="226">IF(AND(I46&lt;=0,I58&gt;0),"흑전",IF(AND(I46&lt;=0,I58&lt;=0),"적지",IF(AND(I46&gt;0,I58&lt;=0),"적전",I58/I46-1)))</f>
        <v>1.0055908615557878</v>
      </c>
      <c r="W58" s="78">
        <f t="shared" ref="W58" si="227">IF(AND(J46&lt;=0,J58&gt;0),"흑전",IF(AND(J46&lt;=0,J58&lt;=0),"적지",IF(AND(J46&gt;0,J58&lt;=0),"적전",J58/J46-1)))</f>
        <v>0.2034454470877769</v>
      </c>
      <c r="X58" s="80">
        <f t="shared" ref="X58" si="228">IF(AND(K46&lt;=0,K58&gt;0),"흑전",IF(AND(K46&lt;=0,K58&lt;=0),"적지",IF(AND(K46&gt;0,K58&lt;=0),"적전",K58/K46-1)))</f>
        <v>0.96809938269238138</v>
      </c>
      <c r="Y58" s="55">
        <f t="shared" ref="Y58" si="229">IF(AND(L46&lt;=0,L58&gt;0),"흑전",IF(AND(L46&lt;=0,L58&lt;=0),"적지",IF(AND(L46&gt;0,L58&lt;=0),"적전",L58/L46-1)))</f>
        <v>0.41349268401653072</v>
      </c>
      <c r="Z58" s="81">
        <f t="shared" ref="Z58" si="230">IF(AND(M46&lt;=0,M58&gt;0),"흑전",IF(AND(M46&lt;=0,M58&lt;=0),"적지",IF(AND(M46&gt;0,M58&lt;=0),"적전",M58/M46-1)))</f>
        <v>0.16127292340884569</v>
      </c>
    </row>
    <row r="59" spans="2:26">
      <c r="B59" s="24">
        <v>46016</v>
      </c>
      <c r="C59" s="5">
        <v>192082.93700000001</v>
      </c>
      <c r="D59" s="6">
        <v>29233.208272</v>
      </c>
      <c r="E59" s="38">
        <v>221316.14527199999</v>
      </c>
      <c r="F59" s="7">
        <v>0.2024619304056143</v>
      </c>
      <c r="G59" s="30">
        <v>7.2395902232430823E-2</v>
      </c>
      <c r="H59" s="41">
        <f t="shared" ref="H59:H61" si="231">K59/E59</f>
        <v>0.18528176812678243</v>
      </c>
      <c r="I59" s="5">
        <v>38889.482222999999</v>
      </c>
      <c r="J59" s="6">
        <v>2116.3644880000002</v>
      </c>
      <c r="K59" s="38">
        <v>41005.846710999998</v>
      </c>
      <c r="L59" s="8">
        <v>50657</v>
      </c>
      <c r="M59" s="43">
        <v>7506</v>
      </c>
      <c r="O59" s="24">
        <f t="shared" si="173"/>
        <v>46016</v>
      </c>
      <c r="P59" s="55">
        <f t="shared" ref="P59" si="232">IF(AND(C47&lt;=0,C59&gt;0),"흑전",IF(AND(C47&lt;=0,C59&lt;=0),"적지",IF(AND(C47&gt;0,C59&lt;=0),"적전",C59/C47-1)))</f>
        <v>0.44664731356098142</v>
      </c>
      <c r="Q59" s="78">
        <f t="shared" ref="Q59" si="233">IF(AND(D47&lt;=0,D59&gt;0),"흑전",IF(AND(D47&lt;=0,D59&lt;=0),"적지",IF(AND(D47&gt;0,D59&lt;=0),"적전",D59/D47-1)))</f>
        <v>0.51357607290048679</v>
      </c>
      <c r="R59" s="80">
        <f t="shared" ref="R59" si="234">IF(AND(E47&lt;=0,E59&gt;0),"흑전",IF(AND(E47&lt;=0,E59&lt;=0),"적지",IF(AND(E47&gt;0,E59&lt;=0),"적전",E59/E47-1)))</f>
        <v>0.45514652494542762</v>
      </c>
      <c r="S59" s="55">
        <f t="shared" ref="S59" si="235">IF(AND(F47&lt;=0,F59&gt;0),"흑전",IF(AND(F47&lt;=0,F59&lt;=0),"적지",IF(AND(F47&gt;0,F59&lt;=0),"적전",F59/F47-1)))</f>
        <v>0.21234688865637308</v>
      </c>
      <c r="T59" s="78">
        <f t="shared" ref="T59" si="236">IF(AND(G47&lt;=0,G59&gt;0),"흑전",IF(AND(G47&lt;=0,G59&lt;=0),"적지",IF(AND(G47&gt;0,G59&lt;=0),"적전",G59/G47-1)))</f>
        <v>-3.4721303567588957E-2</v>
      </c>
      <c r="U59" s="80">
        <f t="shared" ref="U59" si="237">IF(AND(H47&lt;=0,H59&gt;0),"흑전",IF(AND(H47&lt;=0,H59&lt;=0),"적지",IF(AND(H47&gt;0,H59&lt;=0),"적전",H59/H47-1)))</f>
        <v>0.19411308436537955</v>
      </c>
      <c r="V59" s="55">
        <f t="shared" ref="V59" si="238">IF(AND(I47&lt;=0,I59&gt;0),"흑전",IF(AND(I47&lt;=0,I59&lt;=0),"적지",IF(AND(I47&gt;0,I59&lt;=0),"적전",I59/I47-1)))</f>
        <v>0.75541582662273177</v>
      </c>
      <c r="W59" s="78">
        <f t="shared" ref="W59" si="239">IF(AND(J47&lt;=0,J59&gt;0),"흑전",IF(AND(J47&lt;=0,J59&lt;=0),"적지",IF(AND(J47&gt;0,J59&lt;=0),"적전",J59/J47-1)))</f>
        <v>0.46461210242214546</v>
      </c>
      <c r="X59" s="80">
        <f t="shared" ref="X59" si="240">IF(AND(K47&lt;=0,K59&gt;0),"흑전",IF(AND(K47&lt;=0,K59&lt;=0),"적지",IF(AND(K47&gt;0,K59&lt;=0),"적전",K59/K47-1)))</f>
        <v>0.73760950510614842</v>
      </c>
      <c r="Y59" s="55">
        <f t="shared" ref="Y59" si="241">IF(AND(L47&lt;=0,L59&gt;0),"흑전",IF(AND(L47&lt;=0,L59&lt;=0),"적지",IF(AND(L47&gt;0,L59&lt;=0),"적전",L59/L47-1)))</f>
        <v>0.38824335434365587</v>
      </c>
      <c r="Z59" s="81">
        <f t="shared" ref="Z59" si="242">IF(AND(M47&lt;=0,M59&gt;0),"흑전",IF(AND(M47&lt;=0,M59&lt;=0),"적지",IF(AND(M47&gt;0,M59&lt;=0),"적전",M59/M47-1)))</f>
        <v>0.38461538461538458</v>
      </c>
    </row>
    <row r="60" spans="2:26">
      <c r="B60" s="24">
        <v>46023</v>
      </c>
      <c r="C60" s="5">
        <v>233501.14499999999</v>
      </c>
      <c r="D60" s="6">
        <v>28061.271052</v>
      </c>
      <c r="E60" s="38">
        <v>261562.41605199999</v>
      </c>
      <c r="F60" s="7">
        <v>0.1872826673976267</v>
      </c>
      <c r="G60" s="30">
        <v>6.6523779359130369E-2</v>
      </c>
      <c r="H60" s="41">
        <f t="shared" si="231"/>
        <v>0.17432725912324876</v>
      </c>
      <c r="I60" s="5">
        <v>43730.717276000003</v>
      </c>
      <c r="J60" s="6">
        <v>1866.741804</v>
      </c>
      <c r="K60" s="38">
        <v>45597.459080000001</v>
      </c>
      <c r="L60" s="8">
        <v>53052</v>
      </c>
      <c r="M60" s="43">
        <v>5613</v>
      </c>
      <c r="O60" s="24">
        <f t="shared" ref="O60" si="243">+B60</f>
        <v>46023</v>
      </c>
      <c r="P60" s="55">
        <f t="shared" ref="P60" si="244">IF(AND(C48&lt;=0,C60&gt;0),"흑전",IF(AND(C48&lt;=0,C60&lt;=0),"적지",IF(AND(C48&gt;0,C60&lt;=0),"적전",C60/C48-1)))</f>
        <v>0.92831131132784428</v>
      </c>
      <c r="Q60" s="78">
        <f t="shared" ref="Q60" si="245">IF(AND(D48&lt;=0,D60&gt;0),"흑전",IF(AND(D48&lt;=0,D60&lt;=0),"적지",IF(AND(D48&gt;0,D60&lt;=0),"적전",D60/D48-1)))</f>
        <v>0.68081887103923333</v>
      </c>
      <c r="R60" s="80">
        <f t="shared" ref="R60" si="246">IF(AND(E48&lt;=0,E60&gt;0),"흑전",IF(AND(E48&lt;=0,E60&lt;=0),"적지",IF(AND(E48&gt;0,E60&lt;=0),"적전",E60/E48-1)))</f>
        <v>0.89830982641323187</v>
      </c>
      <c r="S60" s="55">
        <f t="shared" ref="S60" si="247">IF(AND(F48&lt;=0,F60&gt;0),"흑전",IF(AND(F48&lt;=0,F60&lt;=0),"적지",IF(AND(F48&gt;0,F60&lt;=0),"적전",F60/F48-1)))</f>
        <v>-0.19274712328609189</v>
      </c>
      <c r="T60" s="78">
        <f t="shared" ref="T60" si="248">IF(AND(G48&lt;=0,G60&gt;0),"흑전",IF(AND(G48&lt;=0,G60&lt;=0),"적지",IF(AND(G48&gt;0,G60&lt;=0),"적전",G60/G48-1)))</f>
        <v>-0.13605481351778737</v>
      </c>
      <c r="U60" s="80">
        <f t="shared" ref="U60" si="249">IF(AND(H48&lt;=0,H60&gt;0),"흑전",IF(AND(H48&lt;=0,H60&lt;=0),"적지",IF(AND(H48&gt;0,H60&lt;=0),"적전",H60/H48-1)))</f>
        <v>-0.18363083122675883</v>
      </c>
      <c r="V60" s="55">
        <f t="shared" ref="V60" si="250">IF(AND(I48&lt;=0,I60&gt;0),"흑전",IF(AND(I48&lt;=0,I60&lt;=0),"적지",IF(AND(I48&gt;0,I60&lt;=0),"적전",I60/I48-1)))</f>
        <v>0.55382025568504845</v>
      </c>
      <c r="W60" s="78">
        <f t="shared" ref="W60" si="251">IF(AND(J48&lt;=0,J60&gt;0),"흑전",IF(AND(J48&lt;=0,J60&lt;=0),"적지",IF(AND(J48&gt;0,J60&lt;=0),"적전",J60/J48-1)))</f>
        <v>0.45953229397967155</v>
      </c>
      <c r="X60" s="80">
        <f t="shared" ref="X60" si="252">IF(AND(K48&lt;=0,K60&gt;0),"흑전",IF(AND(K48&lt;=0,K60&lt;=0),"적지",IF(AND(K48&gt;0,K60&lt;=0),"적전",K60/K48-1)))</f>
        <v>0.54972161506304595</v>
      </c>
      <c r="Y60" s="55">
        <f t="shared" ref="Y60" si="253">IF(AND(L48&lt;=0,L60&gt;0),"흑전",IF(AND(L48&lt;=0,L60&lt;=0),"적지",IF(AND(L48&gt;0,L60&lt;=0),"적전",L60/L48-1)))</f>
        <v>0.56666568230812397</v>
      </c>
      <c r="Z60" s="81">
        <f t="shared" ref="Z60" si="254">IF(AND(M48&lt;=0,M60&gt;0),"흑전",IF(AND(M48&lt;=0,M60&lt;=0),"적지",IF(AND(M48&gt;0,M60&lt;=0),"적전",M60/M48-1)))</f>
        <v>2.3522975929978207E-2</v>
      </c>
    </row>
    <row r="61" spans="2:26">
      <c r="B61" s="24">
        <v>46054</v>
      </c>
      <c r="C61" s="5">
        <v>151466.94399999999</v>
      </c>
      <c r="D61" s="6">
        <v>21456.119316</v>
      </c>
      <c r="E61" s="38">
        <v>172923.06331599999</v>
      </c>
      <c r="F61" s="7">
        <v>0.20373442518406845</v>
      </c>
      <c r="G61" s="30">
        <v>8.264855129313263E-2</v>
      </c>
      <c r="H61" s="41">
        <f t="shared" si="231"/>
        <v>0.18871021205791999</v>
      </c>
      <c r="I61" s="5">
        <v>30859.030770227484</v>
      </c>
      <c r="J61" s="6">
        <v>1773.3171778399999</v>
      </c>
      <c r="K61" s="38">
        <v>32632.347948067483</v>
      </c>
      <c r="L61" s="8">
        <v>43914</v>
      </c>
      <c r="M61" s="43">
        <v>6458</v>
      </c>
      <c r="O61" s="24">
        <f t="shared" ref="O61" si="255">+B61</f>
        <v>46054</v>
      </c>
      <c r="P61" s="55">
        <f t="shared" ref="P61" si="256">IF(AND(C49&lt;=0,C61&gt;0),"흑전",IF(AND(C49&lt;=0,C61&lt;=0),"적지",IF(AND(C49&gt;0,C61&lt;=0),"적전",C61/C49-1)))</f>
        <v>7.7105927864375756E-2</v>
      </c>
      <c r="Q61" s="78">
        <f t="shared" ref="Q61" si="257">IF(AND(D49&lt;=0,D61&gt;0),"흑전",IF(AND(D49&lt;=0,D61&lt;=0),"적지",IF(AND(D49&gt;0,D61&lt;=0),"적전",D61/D49-1)))</f>
        <v>-0.1294279268035381</v>
      </c>
      <c r="R61" s="80">
        <f t="shared" ref="R61" si="258">IF(AND(E49&lt;=0,E61&gt;0),"흑전",IF(AND(E49&lt;=0,E61&lt;=0),"적지",IF(AND(E49&gt;0,E61&lt;=0),"적전",E61/E49-1)))</f>
        <v>4.631275869037732E-2</v>
      </c>
      <c r="S61" s="55">
        <f t="shared" ref="S61" si="259">IF(AND(F49&lt;=0,F61&gt;0),"흑전",IF(AND(F49&lt;=0,F61&lt;=0),"적지",IF(AND(F49&gt;0,F61&lt;=0),"적전",F61/F49-1)))</f>
        <v>0.38594847063992144</v>
      </c>
      <c r="T61" s="78">
        <f t="shared" ref="T61" si="260">IF(AND(G49&lt;=0,G61&gt;0),"흑전",IF(AND(G49&lt;=0,G61&lt;=0),"적지",IF(AND(G49&gt;0,G61&lt;=0),"적전",G61/G49-1)))</f>
        <v>7.3357809001722396E-2</v>
      </c>
      <c r="U61" s="80">
        <f t="shared" ref="U61" si="261">IF(AND(H49&lt;=0,H61&gt;0),"흑전",IF(AND(H49&lt;=0,H61&lt;=0),"적지",IF(AND(H49&gt;0,H61&lt;=0),"적전",H61/H49-1)))</f>
        <v>0.37896042961490806</v>
      </c>
      <c r="V61" s="55">
        <f t="shared" ref="V61" si="262">IF(AND(I49&lt;=0,I61&gt;0),"흑전",IF(AND(I49&lt;=0,I61&lt;=0),"적지",IF(AND(I49&gt;0,I61&lt;=0),"적전",I61/I49-1)))</f>
        <v>0.48998265512179451</v>
      </c>
      <c r="W61" s="78">
        <f t="shared" ref="W61" si="263">IF(AND(J49&lt;=0,J61&gt;0),"흑전",IF(AND(J49&lt;=0,J61&lt;=0),"적지",IF(AND(J49&gt;0,J61&lt;=0),"적전",J61/J49-1)))</f>
        <v>-6.9613233032528865E-2</v>
      </c>
      <c r="X61" s="80">
        <f t="shared" ref="X61" si="264">IF(AND(K49&lt;=0,K61&gt;0),"흑전",IF(AND(K49&lt;=0,K61&lt;=0),"적지",IF(AND(K49&gt;0,K61&lt;=0),"적전",K61/K49-1)))</f>
        <v>0.44282389123524268</v>
      </c>
      <c r="Y61" s="55">
        <f t="shared" ref="Y61" si="265">IF(AND(L49&lt;=0,L61&gt;0),"흑전",IF(AND(L49&lt;=0,L61&lt;=0),"적지",IF(AND(L49&gt;0,L61&lt;=0),"적전",L61/L49-1)))</f>
        <v>0.25157465728047423</v>
      </c>
      <c r="Z61" s="81">
        <f t="shared" ref="Z61" si="266">IF(AND(M49&lt;=0,M61&gt;0),"흑전",IF(AND(M49&lt;=0,M61&lt;=0),"적지",IF(AND(M49&gt;0,M61&lt;=0),"적전",M61/M49-1)))</f>
        <v>0.43288218327046812</v>
      </c>
    </row>
    <row r="67" spans="9:9">
      <c r="I67" s="110"/>
    </row>
  </sheetData>
  <mergeCells count="6">
    <mergeCell ref="Y3:Y4"/>
    <mergeCell ref="Z3:Z4"/>
    <mergeCell ref="M3:M4"/>
    <mergeCell ref="O3:O4"/>
    <mergeCell ref="B3:B4"/>
    <mergeCell ref="L3:L4"/>
  </mergeCells>
  <phoneticPr fontId="85" type="noConversion"/>
  <pageMargins left="0.25" right="0.25" top="0.75" bottom="0.75" header="0.3" footer="0.3"/>
  <pageSetup paperSize="9" scale="89" fitToHeight="0" orientation="portrait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55"/>
  <sheetViews>
    <sheetView showGridLines="0" zoomScaleNormal="100" workbookViewId="0">
      <pane xSplit="2" ySplit="3" topLeftCell="C43" activePane="bottomRight" state="frozen"/>
      <selection pane="topRight" activeCell="C1" sqref="C1"/>
      <selection pane="bottomLeft" activeCell="A4" sqref="A4"/>
      <selection pane="bottomRight" activeCell="G22" sqref="G22"/>
    </sheetView>
  </sheetViews>
  <sheetFormatPr defaultRowHeight="16.5"/>
  <cols>
    <col min="7" max="7" width="9" style="101"/>
  </cols>
  <sheetData>
    <row r="3" spans="2:15">
      <c r="C3" t="s">
        <v>16</v>
      </c>
      <c r="D3" t="s">
        <v>17</v>
      </c>
      <c r="E3" t="s">
        <v>1</v>
      </c>
      <c r="F3" t="s">
        <v>2</v>
      </c>
      <c r="G3" s="101" t="s">
        <v>18</v>
      </c>
      <c r="H3" t="s">
        <v>19</v>
      </c>
      <c r="I3" t="s">
        <v>20</v>
      </c>
      <c r="J3" t="s">
        <v>17</v>
      </c>
      <c r="K3" t="s">
        <v>1</v>
      </c>
      <c r="L3" t="s">
        <v>2</v>
      </c>
      <c r="M3" t="s">
        <v>21</v>
      </c>
      <c r="N3" t="s">
        <v>1</v>
      </c>
      <c r="O3" t="s">
        <v>2</v>
      </c>
    </row>
    <row r="4" spans="2:15">
      <c r="B4" s="96">
        <f>+DreamtowerCasino!B9</f>
        <v>44470</v>
      </c>
      <c r="C4" s="100">
        <f>+DreamtowerCasino!E9/1000</f>
        <v>18.247</v>
      </c>
      <c r="D4" s="99">
        <f>+DreamtowerCasino!R9</f>
        <v>0</v>
      </c>
      <c r="E4" s="100">
        <f>+DreamtowerCasino!C9/1000</f>
        <v>15.678000000000001</v>
      </c>
      <c r="F4" s="100">
        <f>+DreamtowerCasino!D9/1000</f>
        <v>2.569</v>
      </c>
      <c r="G4" s="102">
        <f t="shared" ref="G4:G35" si="0">+C4/H4*1000</f>
        <v>2.2605302279484638</v>
      </c>
      <c r="H4" s="97">
        <f>+DreamtowerCasino!L9</f>
        <v>8072</v>
      </c>
      <c r="I4" s="100">
        <f>+DreamtowerCasino!K9/1000</f>
        <v>2.069</v>
      </c>
      <c r="J4" s="98">
        <f>+DreamtowerCasino!X9</f>
        <v>0</v>
      </c>
      <c r="K4" s="100">
        <f>+DreamtowerCasino!I9/1000</f>
        <v>1.913</v>
      </c>
      <c r="L4" s="100">
        <f>+DreamtowerCasino!J9/1000</f>
        <v>0.156</v>
      </c>
      <c r="M4" s="99">
        <f>+DreamtowerCasino!H9</f>
        <v>0.11338850221954294</v>
      </c>
      <c r="N4" s="99">
        <f>+DreamtowerCasino!F9</f>
        <v>0.122</v>
      </c>
      <c r="O4" s="99">
        <f>+DreamtowerCasino!G9</f>
        <v>6.0999999999999999E-2</v>
      </c>
    </row>
    <row r="5" spans="2:15">
      <c r="B5" s="96">
        <f>+DreamtowerCasino!B10</f>
        <v>44501</v>
      </c>
      <c r="C5" s="100">
        <f>+DreamtowerCasino!E10/1000</f>
        <v>23.873999999999999</v>
      </c>
      <c r="D5" s="99">
        <f>+DreamtowerCasino!R10</f>
        <v>0</v>
      </c>
      <c r="E5" s="100">
        <f>+DreamtowerCasino!C10/1000</f>
        <v>21.341999999999999</v>
      </c>
      <c r="F5" s="100">
        <f>+DreamtowerCasino!D10/1000</f>
        <v>2.532</v>
      </c>
      <c r="G5" s="102">
        <f t="shared" si="0"/>
        <v>3.3153728648798779</v>
      </c>
      <c r="H5" s="97">
        <f>+DreamtowerCasino!L10</f>
        <v>7201</v>
      </c>
      <c r="I5" s="100">
        <f>+DreamtowerCasino!K10/1000</f>
        <v>1.851</v>
      </c>
      <c r="J5" s="98">
        <f>+DreamtowerCasino!X10</f>
        <v>0</v>
      </c>
      <c r="K5" s="100">
        <f>+DreamtowerCasino!I10/1000</f>
        <v>1.6479999999999999</v>
      </c>
      <c r="L5" s="100">
        <f>+DreamtowerCasino!J10/1000</f>
        <v>0.20399999999999999</v>
      </c>
      <c r="M5" s="99">
        <f>+DreamtowerCasino!H10</f>
        <v>7.7532043226941447E-2</v>
      </c>
      <c r="N5" s="99">
        <f>+DreamtowerCasino!F10</f>
        <v>7.6999999999999999E-2</v>
      </c>
      <c r="O5" s="99">
        <f>+DreamtowerCasino!G10</f>
        <v>0.08</v>
      </c>
    </row>
    <row r="6" spans="2:15">
      <c r="B6" s="96">
        <f>+DreamtowerCasino!B11</f>
        <v>44531</v>
      </c>
      <c r="C6" s="100">
        <f>+DreamtowerCasino!E11/1000</f>
        <v>27.837</v>
      </c>
      <c r="D6" s="99">
        <f>+DreamtowerCasino!R11</f>
        <v>0</v>
      </c>
      <c r="E6" s="100">
        <f>+DreamtowerCasino!C11/1000</f>
        <v>25.635000000000002</v>
      </c>
      <c r="F6" s="100">
        <f>+DreamtowerCasino!D11/1000</f>
        <v>2.202</v>
      </c>
      <c r="G6" s="102">
        <f t="shared" si="0"/>
        <v>5.57074244546728</v>
      </c>
      <c r="H6" s="97">
        <f>+DreamtowerCasino!L11</f>
        <v>4997</v>
      </c>
      <c r="I6" s="100">
        <f>+DreamtowerCasino!K11/1000</f>
        <v>5.9020000000000001</v>
      </c>
      <c r="J6" s="98">
        <f>+DreamtowerCasino!X11</f>
        <v>0</v>
      </c>
      <c r="K6" s="100">
        <f>+DreamtowerCasino!I11/1000</f>
        <v>5.694</v>
      </c>
      <c r="L6" s="100">
        <f>+DreamtowerCasino!J11/1000</f>
        <v>0.20799999999999999</v>
      </c>
      <c r="M6" s="99">
        <f>+DreamtowerCasino!H11</f>
        <v>0.21201997341667564</v>
      </c>
      <c r="N6" s="99">
        <f>+DreamtowerCasino!F11</f>
        <v>0.222</v>
      </c>
      <c r="O6" s="99">
        <f>+DreamtowerCasino!G11</f>
        <v>9.5000000000000001E-2</v>
      </c>
    </row>
    <row r="7" spans="2:15">
      <c r="B7" s="96">
        <f>+DreamtowerCasino!B12</f>
        <v>44562</v>
      </c>
      <c r="C7" s="100">
        <f>+DreamtowerCasino!E12/1000</f>
        <v>40.795000000000002</v>
      </c>
      <c r="D7" s="99">
        <f>+DreamtowerCasino!R12</f>
        <v>0</v>
      </c>
      <c r="E7" s="100">
        <f>+DreamtowerCasino!C12/1000</f>
        <v>37.145000000000003</v>
      </c>
      <c r="F7" s="100">
        <f>+DreamtowerCasino!D12/1000</f>
        <v>3.649</v>
      </c>
      <c r="G7" s="102">
        <f t="shared" si="0"/>
        <v>7.8346456692913389</v>
      </c>
      <c r="H7" s="97">
        <f>+DreamtowerCasino!L12</f>
        <v>5207</v>
      </c>
      <c r="I7" s="100">
        <f>+DreamtowerCasino!K12/1000</f>
        <v>0.94</v>
      </c>
      <c r="J7" s="98">
        <f>+DreamtowerCasino!X12</f>
        <v>0</v>
      </c>
      <c r="K7" s="100">
        <f>+DreamtowerCasino!I12/1000</f>
        <v>0.65</v>
      </c>
      <c r="L7" s="100">
        <f>+DreamtowerCasino!J12/1000</f>
        <v>0.28999999999999998</v>
      </c>
      <c r="M7" s="99">
        <f>+DreamtowerCasino!H12</f>
        <v>2.3042039465620785E-2</v>
      </c>
      <c r="N7" s="99">
        <f>+DreamtowerCasino!F12</f>
        <v>1.7999999999999999E-2</v>
      </c>
      <c r="O7" s="99">
        <f>+DreamtowerCasino!G12</f>
        <v>7.9000000000000001E-2</v>
      </c>
    </row>
    <row r="8" spans="2:15">
      <c r="B8" s="96">
        <f>+DreamtowerCasino!B13</f>
        <v>44593</v>
      </c>
      <c r="C8" s="100">
        <f>+DreamtowerCasino!E13/1000</f>
        <v>43.317999999999998</v>
      </c>
      <c r="D8" s="99">
        <f>+DreamtowerCasino!R13</f>
        <v>0</v>
      </c>
      <c r="E8" s="100">
        <f>+DreamtowerCasino!C13/1000</f>
        <v>39.835000000000001</v>
      </c>
      <c r="F8" s="100">
        <f>+DreamtowerCasino!D13/1000</f>
        <v>3.4830000000000001</v>
      </c>
      <c r="G8" s="102">
        <f t="shared" si="0"/>
        <v>9.2185571398169817</v>
      </c>
      <c r="H8" s="97">
        <f>+DreamtowerCasino!L13</f>
        <v>4699</v>
      </c>
      <c r="I8" s="100">
        <f>+DreamtowerCasino!K13/1000</f>
        <v>2.5960000000000001</v>
      </c>
      <c r="J8" s="98">
        <f>+DreamtowerCasino!X13</f>
        <v>0</v>
      </c>
      <c r="K8" s="100">
        <f>+DreamtowerCasino!I13/1000</f>
        <v>2.3010000000000002</v>
      </c>
      <c r="L8" s="100">
        <f>+DreamtowerCasino!J13/1000</f>
        <v>0.29499999999999998</v>
      </c>
      <c r="M8" s="99">
        <f>+DreamtowerCasino!H13</f>
        <v>5.9928897917724731E-2</v>
      </c>
      <c r="N8" s="99">
        <f>+DreamtowerCasino!F13</f>
        <v>5.8000000000000003E-2</v>
      </c>
      <c r="O8" s="99">
        <f>+DreamtowerCasino!G13</f>
        <v>8.5000000000000006E-2</v>
      </c>
    </row>
    <row r="9" spans="2:15">
      <c r="B9" s="96">
        <f>+DreamtowerCasino!B14</f>
        <v>44621</v>
      </c>
      <c r="C9" s="100">
        <f>+DreamtowerCasino!E14/1000</f>
        <v>31.532</v>
      </c>
      <c r="D9" s="99">
        <f>+DreamtowerCasino!R14</f>
        <v>0</v>
      </c>
      <c r="E9" s="100">
        <f>+DreamtowerCasino!C14/1000</f>
        <v>28.373000000000001</v>
      </c>
      <c r="F9" s="100">
        <f>+DreamtowerCasino!D14/1000</f>
        <v>3.16</v>
      </c>
      <c r="G9" s="102">
        <f t="shared" si="0"/>
        <v>7.1679927256194595</v>
      </c>
      <c r="H9" s="97">
        <f>+DreamtowerCasino!L14</f>
        <v>4399</v>
      </c>
      <c r="I9" s="100">
        <f>+DreamtowerCasino!K14/1000</f>
        <v>8.7530000000000001</v>
      </c>
      <c r="J9" s="98">
        <f>+DreamtowerCasino!X14</f>
        <v>0</v>
      </c>
      <c r="K9" s="100">
        <f>+DreamtowerCasino!I14/1000</f>
        <v>8.6859999999999999</v>
      </c>
      <c r="L9" s="100">
        <f>+DreamtowerCasino!J14/1000</f>
        <v>6.7000000000000004E-2</v>
      </c>
      <c r="M9" s="99">
        <f>+DreamtowerCasino!H14</f>
        <v>0.27759101864772295</v>
      </c>
      <c r="N9" s="99">
        <f>+DreamtowerCasino!F14</f>
        <v>0.30599999999999999</v>
      </c>
      <c r="O9" s="99">
        <f>+DreamtowerCasino!G14</f>
        <v>2.1000000000000001E-2</v>
      </c>
    </row>
    <row r="10" spans="2:15">
      <c r="B10" s="96">
        <f>+DreamtowerCasino!B15</f>
        <v>44652</v>
      </c>
      <c r="C10" s="100">
        <f>+DreamtowerCasino!E15/1000</f>
        <v>31.974</v>
      </c>
      <c r="D10" s="99">
        <f>+DreamtowerCasino!R15</f>
        <v>0</v>
      </c>
      <c r="E10" s="100">
        <f>+DreamtowerCasino!C15/1000</f>
        <v>27.292000000000002</v>
      </c>
      <c r="F10" s="100">
        <f>+DreamtowerCasino!D15/1000</f>
        <v>4.681</v>
      </c>
      <c r="G10" s="102">
        <f t="shared" si="0"/>
        <v>6.3065088757396444</v>
      </c>
      <c r="H10" s="97">
        <f>+DreamtowerCasino!L15</f>
        <v>5070</v>
      </c>
      <c r="I10" s="100">
        <f>+DreamtowerCasino!K15/1000</f>
        <v>2.125</v>
      </c>
      <c r="J10" s="98">
        <f>+DreamtowerCasino!X15</f>
        <v>0</v>
      </c>
      <c r="K10" s="100">
        <f>+DreamtowerCasino!I15/1000</f>
        <v>1.7689999999999999</v>
      </c>
      <c r="L10" s="100">
        <f>+DreamtowerCasino!J15/1000</f>
        <v>0.35499999999999998</v>
      </c>
      <c r="M10" s="99">
        <f>+DreamtowerCasino!H15</f>
        <v>6.6460248952273718E-2</v>
      </c>
      <c r="N10" s="99">
        <f>+DreamtowerCasino!F15</f>
        <v>6.5000000000000002E-2</v>
      </c>
      <c r="O10" s="99">
        <f>+DreamtowerCasino!G15</f>
        <v>7.5999999999999998E-2</v>
      </c>
    </row>
    <row r="11" spans="2:15">
      <c r="B11" s="96">
        <f>+DreamtowerCasino!B16</f>
        <v>44682</v>
      </c>
      <c r="C11" s="100">
        <f>+DreamtowerCasino!E16/1000</f>
        <v>32.884</v>
      </c>
      <c r="D11" s="99">
        <f>+DreamtowerCasino!R16</f>
        <v>0</v>
      </c>
      <c r="E11" s="100">
        <f>+DreamtowerCasino!C16/1000</f>
        <v>28.388999999999999</v>
      </c>
      <c r="F11" s="100">
        <f>+DreamtowerCasino!D16/1000</f>
        <v>4.4939999999999998</v>
      </c>
      <c r="G11" s="102">
        <f t="shared" si="0"/>
        <v>4.6043125175021</v>
      </c>
      <c r="H11" s="97">
        <f>+DreamtowerCasino!L16</f>
        <v>7142</v>
      </c>
      <c r="I11" s="100">
        <f>+DreamtowerCasino!K16/1000</f>
        <v>4.0570000000000004</v>
      </c>
      <c r="J11" s="98">
        <f>+DreamtowerCasino!X16</f>
        <v>0</v>
      </c>
      <c r="K11" s="100">
        <f>+DreamtowerCasino!I16/1000</f>
        <v>3.6339999999999999</v>
      </c>
      <c r="L11" s="100">
        <f>+DreamtowerCasino!J16/1000</f>
        <v>0.42399999999999999</v>
      </c>
      <c r="M11" s="99">
        <f>+DreamtowerCasino!H16</f>
        <v>0.12337306896971172</v>
      </c>
      <c r="N11" s="99">
        <f>+DreamtowerCasino!F16</f>
        <v>0.128</v>
      </c>
      <c r="O11" s="99">
        <f>+DreamtowerCasino!G16</f>
        <v>9.4E-2</v>
      </c>
    </row>
    <row r="12" spans="2:15">
      <c r="B12" s="96">
        <f>+DreamtowerCasino!B17</f>
        <v>44713</v>
      </c>
      <c r="C12" s="100">
        <f>+DreamtowerCasino!E17/1000</f>
        <v>32.691000000000003</v>
      </c>
      <c r="D12" s="99">
        <f>+DreamtowerCasino!R17</f>
        <v>0.33820459290187888</v>
      </c>
      <c r="E12" s="100">
        <f>+DreamtowerCasino!C17/1000</f>
        <v>26.917000000000002</v>
      </c>
      <c r="F12" s="100">
        <f>+DreamtowerCasino!D17/1000</f>
        <v>5.774</v>
      </c>
      <c r="G12" s="102">
        <f t="shared" si="0"/>
        <v>4.3640368442130564</v>
      </c>
      <c r="H12" s="97">
        <f>+DreamtowerCasino!L17</f>
        <v>7491</v>
      </c>
      <c r="I12" s="100">
        <f>+DreamtowerCasino!K17/1000</f>
        <v>6.0519999999999996</v>
      </c>
      <c r="J12" s="98">
        <f>+DreamtowerCasino!X17</f>
        <v>0.98556430446194221</v>
      </c>
      <c r="K12" s="100">
        <f>+DreamtowerCasino!I17/1000</f>
        <v>5.532</v>
      </c>
      <c r="L12" s="100">
        <f>+DreamtowerCasino!J17/1000</f>
        <v>0.52</v>
      </c>
      <c r="M12" s="99">
        <f>+DreamtowerCasino!H17</f>
        <v>0.18512740509620385</v>
      </c>
      <c r="N12" s="99">
        <f>+DreamtowerCasino!F17</f>
        <v>0.20599999999999999</v>
      </c>
      <c r="O12" s="99">
        <f>+DreamtowerCasino!G17</f>
        <v>0.09</v>
      </c>
    </row>
    <row r="13" spans="2:15">
      <c r="B13" s="96">
        <f>+DreamtowerCasino!B18</f>
        <v>44743</v>
      </c>
      <c r="C13" s="100">
        <f>+DreamtowerCasino!E18/1000</f>
        <v>31.084</v>
      </c>
      <c r="D13" s="99">
        <f>+DreamtowerCasino!R18</f>
        <v>-0.10086488675479444</v>
      </c>
      <c r="E13" s="100">
        <f>+DreamtowerCasino!C18/1000</f>
        <v>24.597000000000001</v>
      </c>
      <c r="F13" s="100">
        <f>+DreamtowerCasino!D18/1000</f>
        <v>6.4859999999999998</v>
      </c>
      <c r="G13" s="102">
        <f t="shared" si="0"/>
        <v>4.0191362813550562</v>
      </c>
      <c r="H13" s="97">
        <f>+DreamtowerCasino!L18</f>
        <v>7734</v>
      </c>
      <c r="I13" s="100">
        <f>+DreamtowerCasino!K18/1000</f>
        <v>3.2610000000000001</v>
      </c>
      <c r="J13" s="98">
        <f>+DreamtowerCasino!X18</f>
        <v>2.3688016528925622</v>
      </c>
      <c r="K13" s="100">
        <f>+DreamtowerCasino!I18/1000</f>
        <v>2.6680000000000001</v>
      </c>
      <c r="L13" s="100">
        <f>+DreamtowerCasino!J18/1000</f>
        <v>0.59299999999999997</v>
      </c>
      <c r="M13" s="99">
        <f>+DreamtowerCasino!H18</f>
        <v>0.10490927808518852</v>
      </c>
      <c r="N13" s="99">
        <f>+DreamtowerCasino!F18</f>
        <v>0.108</v>
      </c>
      <c r="O13" s="99">
        <f>+DreamtowerCasino!G18</f>
        <v>9.0999999999999998E-2</v>
      </c>
    </row>
    <row r="14" spans="2:15">
      <c r="B14" s="96">
        <f>+DreamtowerCasino!B19</f>
        <v>44774</v>
      </c>
      <c r="C14" s="100">
        <f>+DreamtowerCasino!E19/1000</f>
        <v>51.25</v>
      </c>
      <c r="D14" s="99">
        <f>+DreamtowerCasino!R19</f>
        <v>0.73188699648553657</v>
      </c>
      <c r="E14" s="100">
        <f>+DreamtowerCasino!C19/1000</f>
        <v>42.828000000000003</v>
      </c>
      <c r="F14" s="100">
        <f>+DreamtowerCasino!D19/1000</f>
        <v>8.4209999999999994</v>
      </c>
      <c r="G14" s="102">
        <f t="shared" si="0"/>
        <v>5.9200646875360974</v>
      </c>
      <c r="H14" s="97">
        <f>+DreamtowerCasino!L19</f>
        <v>8657</v>
      </c>
      <c r="I14" s="100">
        <f>+DreamtowerCasino!K19/1000</f>
        <v>3.9540000000000002</v>
      </c>
      <c r="J14" s="98">
        <f>+DreamtowerCasino!X19</f>
        <v>-0.11878760864720306</v>
      </c>
      <c r="K14" s="100">
        <f>+DreamtowerCasino!I19/1000</f>
        <v>3.331</v>
      </c>
      <c r="L14" s="100">
        <f>+DreamtowerCasino!J19/1000</f>
        <v>0.623</v>
      </c>
      <c r="M14" s="99">
        <f>+DreamtowerCasino!H19</f>
        <v>7.7151219512195127E-2</v>
      </c>
      <c r="N14" s="99">
        <f>+DreamtowerCasino!F19</f>
        <v>7.8E-2</v>
      </c>
      <c r="O14" s="99">
        <f>+DreamtowerCasino!G19</f>
        <v>7.3999999999999996E-2</v>
      </c>
    </row>
    <row r="15" spans="2:15">
      <c r="B15" s="96">
        <f>+DreamtowerCasino!B20</f>
        <v>44805</v>
      </c>
      <c r="C15" s="100">
        <f>+DreamtowerCasino!E20/1000</f>
        <v>69.137</v>
      </c>
      <c r="D15" s="99">
        <f>+DreamtowerCasino!R20</f>
        <v>2.7222461505330031</v>
      </c>
      <c r="E15" s="100">
        <f>+DreamtowerCasino!C20/1000</f>
        <v>61.863</v>
      </c>
      <c r="F15" s="100">
        <f>+DreamtowerCasino!D20/1000</f>
        <v>7.274</v>
      </c>
      <c r="G15" s="102">
        <f t="shared" si="0"/>
        <v>8.1645016532829473</v>
      </c>
      <c r="H15" s="97">
        <f>+DreamtowerCasino!L20</f>
        <v>8468</v>
      </c>
      <c r="I15" s="100">
        <f>+DreamtowerCasino!K20/1000</f>
        <v>3.286</v>
      </c>
      <c r="J15" s="98">
        <f>+DreamtowerCasino!X20</f>
        <v>0.21568627450980382</v>
      </c>
      <c r="K15" s="100">
        <f>+DreamtowerCasino!I20/1000</f>
        <v>2.8679999999999999</v>
      </c>
      <c r="L15" s="100">
        <f>+DreamtowerCasino!J20/1000</f>
        <v>0.41699999999999998</v>
      </c>
      <c r="M15" s="99">
        <f>+DreamtowerCasino!H20</f>
        <v>4.7528819590089241E-2</v>
      </c>
      <c r="N15" s="99">
        <f>+DreamtowerCasino!F20</f>
        <v>4.5999999999999999E-2</v>
      </c>
      <c r="O15" s="99">
        <f>+DreamtowerCasino!G20</f>
        <v>5.7000000000000002E-2</v>
      </c>
    </row>
    <row r="16" spans="2:15">
      <c r="B16" s="96">
        <f>+DreamtowerCasino!B21</f>
        <v>44835</v>
      </c>
      <c r="C16" s="100">
        <f>+DreamtowerCasino!E21/1000</f>
        <v>63.222000000000001</v>
      </c>
      <c r="D16" s="99">
        <f>+DreamtowerCasino!R21</f>
        <v>2.464788732394366</v>
      </c>
      <c r="E16" s="100">
        <f>+DreamtowerCasino!C21/1000</f>
        <v>53.978999999999999</v>
      </c>
      <c r="F16" s="100">
        <f>+DreamtowerCasino!D21/1000</f>
        <v>9.2430000000000003</v>
      </c>
      <c r="G16" s="102">
        <f t="shared" si="0"/>
        <v>6.972758354472262</v>
      </c>
      <c r="H16" s="97">
        <f>+DreamtowerCasino!L21</f>
        <v>9067</v>
      </c>
      <c r="I16" s="100">
        <f>+DreamtowerCasino!K21/1000</f>
        <v>3.27</v>
      </c>
      <c r="J16" s="98">
        <f>+DreamtowerCasino!X21</f>
        <v>0.5804736587723538</v>
      </c>
      <c r="K16" s="100">
        <f>+DreamtowerCasino!I21/1000</f>
        <v>2.6</v>
      </c>
      <c r="L16" s="100">
        <f>+DreamtowerCasino!J21/1000</f>
        <v>0.67</v>
      </c>
      <c r="M16" s="99">
        <f>+DreamtowerCasino!H21</f>
        <v>5.1722501660814275E-2</v>
      </c>
      <c r="N16" s="99">
        <f>+DreamtowerCasino!F21</f>
        <v>4.8000000000000001E-2</v>
      </c>
      <c r="O16" s="99">
        <f>+DreamtowerCasino!G21</f>
        <v>7.2999999999999995E-2</v>
      </c>
    </row>
    <row r="17" spans="2:15">
      <c r="B17" s="96">
        <f>+DreamtowerCasino!B22</f>
        <v>44866</v>
      </c>
      <c r="C17" s="100">
        <f>+DreamtowerCasino!E22/1000</f>
        <v>79.768000000000001</v>
      </c>
      <c r="D17" s="99">
        <f>+DreamtowerCasino!R22</f>
        <v>2.3412080087124068</v>
      </c>
      <c r="E17" s="100">
        <f>+DreamtowerCasino!C22/1000</f>
        <v>65.757000000000005</v>
      </c>
      <c r="F17" s="100">
        <f>+DreamtowerCasino!D22/1000</f>
        <v>14.010999999999999</v>
      </c>
      <c r="G17" s="102">
        <f t="shared" si="0"/>
        <v>6.0868370850820295</v>
      </c>
      <c r="H17" s="97">
        <f>+DreamtowerCasino!L22</f>
        <v>13105</v>
      </c>
      <c r="I17" s="100">
        <f>+DreamtowerCasino!K22/1000</f>
        <v>3.3</v>
      </c>
      <c r="J17" s="98">
        <f>+DreamtowerCasino!X22</f>
        <v>0.78282009724473256</v>
      </c>
      <c r="K17" s="100">
        <f>+DreamtowerCasino!I22/1000</f>
        <v>2.4870000000000001</v>
      </c>
      <c r="L17" s="100">
        <f>+DreamtowerCasino!J22/1000</f>
        <v>0.81299999999999994</v>
      </c>
      <c r="M17" s="99">
        <f>+DreamtowerCasino!H22</f>
        <v>4.1369972921472271E-2</v>
      </c>
      <c r="N17" s="99">
        <f>+DreamtowerCasino!F22</f>
        <v>3.7999999999999999E-2</v>
      </c>
      <c r="O17" s="99">
        <f>+DreamtowerCasino!G22</f>
        <v>5.8000000000000003E-2</v>
      </c>
    </row>
    <row r="18" spans="2:15">
      <c r="B18" s="96">
        <f>+DreamtowerCasino!B23</f>
        <v>44896</v>
      </c>
      <c r="C18" s="100">
        <f>+DreamtowerCasino!E23/1000</f>
        <v>73.114000000000004</v>
      </c>
      <c r="D18" s="99">
        <f>+DreamtowerCasino!R23</f>
        <v>1.626504292847649</v>
      </c>
      <c r="E18" s="100">
        <f>+DreamtowerCasino!C23/1000</f>
        <v>64.447000000000003</v>
      </c>
      <c r="F18" s="100">
        <f>+DreamtowerCasino!D23/1000</f>
        <v>8.6669999999999998</v>
      </c>
      <c r="G18" s="102">
        <f t="shared" si="0"/>
        <v>5.5456614077669908</v>
      </c>
      <c r="H18" s="97">
        <f>+DreamtowerCasino!L23</f>
        <v>13184</v>
      </c>
      <c r="I18" s="100">
        <f>+DreamtowerCasino!K23/1000</f>
        <v>2.085</v>
      </c>
      <c r="J18" s="98">
        <f>+DreamtowerCasino!X23</f>
        <v>-0.64672992206031854</v>
      </c>
      <c r="K18" s="100">
        <f>+DreamtowerCasino!I23/1000</f>
        <v>1.42</v>
      </c>
      <c r="L18" s="100">
        <f>+DreamtowerCasino!J23/1000</f>
        <v>0.66400000000000003</v>
      </c>
      <c r="M18" s="99">
        <f>+DreamtowerCasino!H23</f>
        <v>2.8517110266159697E-2</v>
      </c>
      <c r="N18" s="99">
        <f>+DreamtowerCasino!F23</f>
        <v>2.1999999999999999E-2</v>
      </c>
      <c r="O18" s="99">
        <f>+DreamtowerCasino!G23</f>
        <v>7.6999999999999999E-2</v>
      </c>
    </row>
    <row r="19" spans="2:15">
      <c r="B19" s="96">
        <f>+DreamtowerCasino!B24</f>
        <v>44927</v>
      </c>
      <c r="C19" s="100">
        <f>+DreamtowerCasino!E24/1000</f>
        <v>73.945887436000007</v>
      </c>
      <c r="D19" s="99">
        <f>+DreamtowerCasino!R24</f>
        <v>0.81262133683049398</v>
      </c>
      <c r="E19" s="100">
        <f>+DreamtowerCasino!C24/1000</f>
        <v>67.226089000000002</v>
      </c>
      <c r="F19" s="100">
        <f>+DreamtowerCasino!D24/1000</f>
        <v>6.7197984359999996</v>
      </c>
      <c r="G19" s="102">
        <f t="shared" si="0"/>
        <v>6.9543766985798934</v>
      </c>
      <c r="H19" s="97">
        <f>+DreamtowerCasino!L24</f>
        <v>10633</v>
      </c>
      <c r="I19" s="100">
        <f>+DreamtowerCasino!K24/1000</f>
        <v>6.4925202420000003</v>
      </c>
      <c r="J19" s="98">
        <f>+DreamtowerCasino!X24</f>
        <v>5.9069364276595753</v>
      </c>
      <c r="K19" s="100">
        <f>+DreamtowerCasino!I24/1000</f>
        <v>5.7868167689999996</v>
      </c>
      <c r="L19" s="100">
        <f>+DreamtowerCasino!J24/1000</f>
        <v>0.70570347300000003</v>
      </c>
      <c r="M19" s="99">
        <f>+DreamtowerCasino!H24</f>
        <v>8.7800964558296252E-2</v>
      </c>
      <c r="N19" s="99">
        <f>+DreamtowerCasino!F24</f>
        <v>8.6079926038832924E-2</v>
      </c>
      <c r="O19" s="99">
        <f>+DreamtowerCasino!G24</f>
        <v>0.10501854776169063</v>
      </c>
    </row>
    <row r="20" spans="2:15">
      <c r="B20" s="96">
        <f>+DreamtowerCasino!B25</f>
        <v>44958</v>
      </c>
      <c r="C20" s="100">
        <f>+DreamtowerCasino!E25/1000</f>
        <v>50.339755855</v>
      </c>
      <c r="D20" s="99">
        <f>+DreamtowerCasino!R25</f>
        <v>0.16209787744124848</v>
      </c>
      <c r="E20" s="100">
        <f>+DreamtowerCasino!C25/1000</f>
        <v>43.470982999999997</v>
      </c>
      <c r="F20" s="100">
        <f>+DreamtowerCasino!D25/1000</f>
        <v>6.8687728550000005</v>
      </c>
      <c r="G20" s="102">
        <f t="shared" si="0"/>
        <v>5.8155910183687611</v>
      </c>
      <c r="H20" s="97">
        <f>+DreamtowerCasino!L25</f>
        <v>8656</v>
      </c>
      <c r="I20" s="100">
        <f>+DreamtowerCasino!K25/1000</f>
        <v>3.7509791319999999</v>
      </c>
      <c r="J20" s="98">
        <f>+DreamtowerCasino!X25</f>
        <v>0.44490721571648684</v>
      </c>
      <c r="K20" s="100">
        <f>+DreamtowerCasino!I25/1000</f>
        <v>3.2789880600000001</v>
      </c>
      <c r="L20" s="100">
        <f>+DreamtowerCasino!J25/1000</f>
        <v>0.47199107199999996</v>
      </c>
      <c r="M20" s="99">
        <f>+DreamtowerCasino!H25</f>
        <v>7.4513256337683118E-2</v>
      </c>
      <c r="N20" s="99">
        <f>+DreamtowerCasino!F25</f>
        <v>7.5429351574589423E-2</v>
      </c>
      <c r="O20" s="99">
        <f>+DreamtowerCasino!G25</f>
        <v>6.87154870256661E-2</v>
      </c>
    </row>
    <row r="21" spans="2:15">
      <c r="B21" s="96">
        <f>+DreamtowerCasino!B26</f>
        <v>44986</v>
      </c>
      <c r="C21" s="100">
        <f>+DreamtowerCasino!E26/1000</f>
        <v>104.675629582</v>
      </c>
      <c r="D21" s="99">
        <f>+DreamtowerCasino!R26</f>
        <v>2.3196635031713813</v>
      </c>
      <c r="E21" s="100">
        <f>+DreamtowerCasino!C26/1000</f>
        <v>96.405946</v>
      </c>
      <c r="F21" s="100">
        <f>+DreamtowerCasino!D26/1000</f>
        <v>8.269683581999999</v>
      </c>
      <c r="G21" s="102">
        <f t="shared" si="0"/>
        <v>7.8110312351317059</v>
      </c>
      <c r="H21" s="97">
        <f>+DreamtowerCasino!L26</f>
        <v>13401</v>
      </c>
      <c r="I21" s="100">
        <f>+DreamtowerCasino!K26/1000</f>
        <v>6.1137878140000002</v>
      </c>
      <c r="J21" s="98">
        <f>+DreamtowerCasino!X26</f>
        <v>-0.30152087124414484</v>
      </c>
      <c r="K21" s="100">
        <f>+DreamtowerCasino!I26/1000</f>
        <v>5.4124338600000002</v>
      </c>
      <c r="L21" s="100">
        <f>+DreamtowerCasino!J26/1000</f>
        <v>0.701353954</v>
      </c>
      <c r="M21" s="99">
        <f>+DreamtowerCasino!H26</f>
        <v>5.8406983921798418E-2</v>
      </c>
      <c r="N21" s="99">
        <f>+DreamtowerCasino!F26</f>
        <v>5.6142116586875256E-2</v>
      </c>
      <c r="O21" s="99">
        <f>+DreamtowerCasino!G26</f>
        <v>8.4810252659072063E-2</v>
      </c>
    </row>
    <row r="22" spans="2:15">
      <c r="B22" s="96">
        <f>+DreamtowerCasino!B27</f>
        <v>45017</v>
      </c>
      <c r="C22" s="100">
        <f>+DreamtowerCasino!E27/1000</f>
        <v>105.94763970300001</v>
      </c>
      <c r="D22" s="99">
        <f>+DreamtowerCasino!R27</f>
        <v>2.3135560049727908</v>
      </c>
      <c r="E22" s="100">
        <f>+DreamtowerCasino!C27/1000</f>
        <v>96.776937000000004</v>
      </c>
      <c r="F22" s="100">
        <f>+DreamtowerCasino!D27/1000</f>
        <v>9.1707027030000017</v>
      </c>
      <c r="G22" s="102">
        <f t="shared" si="0"/>
        <v>5.6605032699150515</v>
      </c>
      <c r="H22" s="97">
        <f>+DreamtowerCasino!L27</f>
        <v>18717</v>
      </c>
      <c r="I22" s="100">
        <f>+DreamtowerCasino!K27/1000</f>
        <v>9.955288705000001</v>
      </c>
      <c r="J22" s="98">
        <f>+DreamtowerCasino!X27</f>
        <v>3.6848417435294119</v>
      </c>
      <c r="K22" s="100">
        <f>+DreamtowerCasino!I27/1000</f>
        <v>9.0949064219999993</v>
      </c>
      <c r="L22" s="100">
        <f>+DreamtowerCasino!J27/1000</f>
        <v>0.86038228300000008</v>
      </c>
      <c r="M22" s="99">
        <f>+DreamtowerCasino!H27</f>
        <v>9.3964233020267157E-2</v>
      </c>
      <c r="N22" s="99">
        <f>+DreamtowerCasino!F27</f>
        <v>9.3978035510671298E-2</v>
      </c>
      <c r="O22" s="99">
        <f>+DreamtowerCasino!G27</f>
        <v>9.3818577579506984E-2</v>
      </c>
    </row>
    <row r="23" spans="2:15">
      <c r="B23" s="96">
        <f>+DreamtowerCasino!B28</f>
        <v>45047</v>
      </c>
      <c r="C23" s="100">
        <f>+DreamtowerCasino!E28/1000</f>
        <v>123.41746157</v>
      </c>
      <c r="D23" s="99">
        <f>+DreamtowerCasino!R28</f>
        <v>2.7531158487410292</v>
      </c>
      <c r="E23" s="100">
        <f>+DreamtowerCasino!C28/1000</f>
        <v>113.70450199999999</v>
      </c>
      <c r="F23" s="100">
        <f>+DreamtowerCasino!D28/1000</f>
        <v>9.7129595700000007</v>
      </c>
      <c r="G23" s="102">
        <f t="shared" si="0"/>
        <v>5.6442633115338881</v>
      </c>
      <c r="H23" s="97">
        <f>+DreamtowerCasino!L28</f>
        <v>21866</v>
      </c>
      <c r="I23" s="100">
        <f>+DreamtowerCasino!K28/1000</f>
        <v>11.419491841999999</v>
      </c>
      <c r="J23" s="98">
        <f>+DreamtowerCasino!X28</f>
        <v>1.8147625935420262</v>
      </c>
      <c r="K23" s="100">
        <f>+DreamtowerCasino!I28/1000</f>
        <v>10.686891277999999</v>
      </c>
      <c r="L23" s="100">
        <f>+DreamtowerCasino!J28/1000</f>
        <v>0.73260056399999995</v>
      </c>
      <c r="M23" s="99">
        <f>+DreamtowerCasino!H28</f>
        <v>9.2527359554572308E-2</v>
      </c>
      <c r="N23" s="99">
        <f>+DreamtowerCasino!F28</f>
        <v>9.3988286215791167E-2</v>
      </c>
      <c r="O23" s="99">
        <f>+DreamtowerCasino!G28</f>
        <v>7.5425060582229919E-2</v>
      </c>
    </row>
    <row r="24" spans="2:15">
      <c r="B24" s="96">
        <f>+DreamtowerCasino!B29</f>
        <v>45078</v>
      </c>
      <c r="C24" s="100">
        <f>+DreamtowerCasino!E29/1000</f>
        <v>113.736799062</v>
      </c>
      <c r="D24" s="99">
        <f>+DreamtowerCasino!R29</f>
        <v>2.4791471371937233</v>
      </c>
      <c r="E24" s="100">
        <f>+DreamtowerCasino!C29/1000</f>
        <v>103.78841800000001</v>
      </c>
      <c r="F24" s="100">
        <f>+DreamtowerCasino!D29/1000</f>
        <v>9.9483810620000011</v>
      </c>
      <c r="G24" s="102">
        <f t="shared" si="0"/>
        <v>5.1115365179991912</v>
      </c>
      <c r="H24" s="97">
        <f>+DreamtowerCasino!L29</f>
        <v>22251</v>
      </c>
      <c r="I24" s="100">
        <f>+DreamtowerCasino!K29/1000</f>
        <v>10.298724787000001</v>
      </c>
      <c r="J24" s="98">
        <f>+DreamtowerCasino!X29</f>
        <v>0.70170601239259756</v>
      </c>
      <c r="K24" s="100">
        <f>+DreamtowerCasino!I29/1000</f>
        <v>9.4017654230000005</v>
      </c>
      <c r="L24" s="100">
        <f>+DreamtowerCasino!J29/1000</f>
        <v>0.89695936400000009</v>
      </c>
      <c r="M24" s="99">
        <f>+DreamtowerCasino!H29</f>
        <v>9.0548748267356968E-2</v>
      </c>
      <c r="N24" s="99">
        <f>+DreamtowerCasino!F29</f>
        <v>9.0585882357316599E-2</v>
      </c>
      <c r="O24" s="99">
        <f>+DreamtowerCasino!G29</f>
        <v>9.0161339660191644E-2</v>
      </c>
    </row>
    <row r="25" spans="2:15">
      <c r="B25" s="96">
        <f>+DreamtowerCasino!B30</f>
        <v>45108</v>
      </c>
      <c r="C25" s="100">
        <f>+DreamtowerCasino!E30/1000</f>
        <v>158.55646287499999</v>
      </c>
      <c r="D25" s="99">
        <f>+DreamtowerCasino!R30</f>
        <v>4.1009028077145802</v>
      </c>
      <c r="E25" s="100">
        <f>+DreamtowerCasino!C30/1000</f>
        <v>130.28358</v>
      </c>
      <c r="F25" s="100">
        <f>+DreamtowerCasino!D30/1000</f>
        <v>28.272882875000001</v>
      </c>
      <c r="G25" s="102">
        <f t="shared" si="0"/>
        <v>5.8713742964265876</v>
      </c>
      <c r="H25" s="97">
        <f>+DreamtowerCasino!L30</f>
        <v>27005</v>
      </c>
      <c r="I25" s="100">
        <f>+DreamtowerCasino!K30/1000</f>
        <v>20.090361541</v>
      </c>
      <c r="J25" s="98">
        <f>+DreamtowerCasino!X30</f>
        <v>5.1607977739957063</v>
      </c>
      <c r="K25" s="100">
        <f>+DreamtowerCasino!I30/1000</f>
        <v>17.508830283999998</v>
      </c>
      <c r="L25" s="100">
        <f>+DreamtowerCasino!J30/1000</f>
        <v>2.581531257</v>
      </c>
      <c r="M25" s="99">
        <f>+DreamtowerCasino!H30</f>
        <v>0.1267079321568777</v>
      </c>
      <c r="N25" s="99">
        <f>+DreamtowerCasino!F30</f>
        <v>0.13439015326413351</v>
      </c>
      <c r="O25" s="99">
        <f>+DreamtowerCasino!G30</f>
        <v>9.1307676985522127E-2</v>
      </c>
    </row>
    <row r="26" spans="2:15">
      <c r="B26" s="96">
        <f>+DreamtowerCasino!B31</f>
        <v>45161</v>
      </c>
      <c r="C26" s="100">
        <f>+DreamtowerCasino!E31/1000</f>
        <v>160.939331869</v>
      </c>
      <c r="D26" s="99">
        <f>+DreamtowerCasino!R31</f>
        <v>2.14027964622439</v>
      </c>
      <c r="E26" s="100">
        <f>+DreamtowerCasino!C31/1000</f>
        <v>132.75011799999999</v>
      </c>
      <c r="F26" s="100">
        <f>+DreamtowerCasino!D31/1000</f>
        <v>28.189213869</v>
      </c>
      <c r="G26" s="102">
        <f t="shared" si="0"/>
        <v>5.6041274416393891</v>
      </c>
      <c r="H26" s="97">
        <f>+DreamtowerCasino!L31</f>
        <v>28718</v>
      </c>
      <c r="I26" s="100">
        <f>+DreamtowerCasino!K31/1000</f>
        <v>17.905628222000001</v>
      </c>
      <c r="J26" s="98">
        <f>+DreamtowerCasino!X31</f>
        <v>3.528484628730399</v>
      </c>
      <c r="K26" s="100">
        <f>+DreamtowerCasino!I31/1000</f>
        <v>15.905207640999999</v>
      </c>
      <c r="L26" s="100">
        <f>+DreamtowerCasino!J31/1000</f>
        <v>2.0004205810000002</v>
      </c>
      <c r="M26" s="99">
        <f>+DreamtowerCasino!H31</f>
        <v>0.11125700606595453</v>
      </c>
      <c r="N26" s="99">
        <f>+DreamtowerCasino!F31</f>
        <v>0.11981313373295835</v>
      </c>
      <c r="O26" s="99">
        <f>+DreamtowerCasino!G31</f>
        <v>7.0964042853280326E-2</v>
      </c>
    </row>
    <row r="27" spans="2:15">
      <c r="B27" s="96">
        <f>+DreamtowerCasino!B32</f>
        <v>45199</v>
      </c>
      <c r="C27" s="100">
        <f>+DreamtowerCasino!E32/1000</f>
        <v>121.83586229300002</v>
      </c>
      <c r="D27" s="99">
        <f>+DreamtowerCasino!R32</f>
        <v>0.76223819796924963</v>
      </c>
      <c r="E27" s="100">
        <f>+DreamtowerCasino!C32/1000</f>
        <v>103.753274</v>
      </c>
      <c r="F27" s="100">
        <f>+DreamtowerCasino!D32/1000</f>
        <v>18.082588293000001</v>
      </c>
      <c r="G27" s="102">
        <f t="shared" si="0"/>
        <v>4.32578953641044</v>
      </c>
      <c r="H27" s="97">
        <f>+DreamtowerCasino!L32</f>
        <v>28165</v>
      </c>
      <c r="I27" s="100">
        <f>+DreamtowerCasino!K32/1000</f>
        <v>14.327106267000001</v>
      </c>
      <c r="J27" s="98">
        <f>+DreamtowerCasino!X32</f>
        <v>3.3600445121728546</v>
      </c>
      <c r="K27" s="100">
        <f>+DreamtowerCasino!I32/1000</f>
        <v>13.142518539000001</v>
      </c>
      <c r="L27" s="100">
        <f>+DreamtowerCasino!J32/1000</f>
        <v>1.1845877279999999</v>
      </c>
      <c r="M27" s="99">
        <f>+DreamtowerCasino!H32</f>
        <v>0.11759350652064252</v>
      </c>
      <c r="N27" s="99">
        <f>+DreamtowerCasino!F32</f>
        <v>0.12667088017868236</v>
      </c>
      <c r="O27" s="99">
        <f>+DreamtowerCasino!G32</f>
        <v>6.5509854496801703E-2</v>
      </c>
    </row>
    <row r="28" spans="2:15">
      <c r="B28" s="96">
        <f>+DreamtowerCasino!B33</f>
        <v>45230</v>
      </c>
      <c r="C28" s="100">
        <f>+DreamtowerCasino!E33/1000</f>
        <v>156.585548276</v>
      </c>
      <c r="D28" s="99">
        <f>+DreamtowerCasino!R33</f>
        <v>1.4767572724051754</v>
      </c>
      <c r="E28" s="100">
        <f>+DreamtowerCasino!C33/1000</f>
        <v>143.44800000000001</v>
      </c>
      <c r="F28" s="100">
        <f>+DreamtowerCasino!D33/1000</f>
        <v>13.137548276</v>
      </c>
      <c r="G28" s="102">
        <f t="shared" si="0"/>
        <v>5.1201866547642396</v>
      </c>
      <c r="H28" s="97">
        <f>+DreamtowerCasino!L33</f>
        <v>30582</v>
      </c>
      <c r="I28" s="100">
        <f>+DreamtowerCasino!K33/1000</f>
        <v>19.795817832000001</v>
      </c>
      <c r="J28" s="98">
        <f>+DreamtowerCasino!X33</f>
        <v>5.0537669211009177</v>
      </c>
      <c r="K28" s="100">
        <f>+DreamtowerCasino!I33/1000</f>
        <v>18.51564501</v>
      </c>
      <c r="L28" s="100">
        <f>+DreamtowerCasino!J33/1000</f>
        <v>1.2801728219999999</v>
      </c>
      <c r="M28" s="99">
        <f>+DreamtowerCasino!H33</f>
        <v>0.12642174229966358</v>
      </c>
      <c r="N28" s="99">
        <f>+DreamtowerCasino!F33</f>
        <v>0.12907565814790029</v>
      </c>
      <c r="O28" s="99">
        <f>+DreamtowerCasino!G33</f>
        <v>9.7443814866024242E-2</v>
      </c>
    </row>
    <row r="29" spans="2:15">
      <c r="B29" s="96">
        <f>+DreamtowerCasino!B34</f>
        <v>45260</v>
      </c>
      <c r="C29" s="100">
        <f>+DreamtowerCasino!E34/1000</f>
        <v>136.33893266499999</v>
      </c>
      <c r="D29" s="99">
        <f>+DreamtowerCasino!R34</f>
        <v>0.70919331893741844</v>
      </c>
      <c r="E29" s="100">
        <f>+DreamtowerCasino!C34/1000</f>
        <v>116.903918</v>
      </c>
      <c r="F29" s="100">
        <f>+DreamtowerCasino!D34/1000</f>
        <v>19.435014664999997</v>
      </c>
      <c r="G29" s="102">
        <f t="shared" si="0"/>
        <v>4.775946077170981</v>
      </c>
      <c r="H29" s="97">
        <f>+DreamtowerCasino!L34</f>
        <v>28547</v>
      </c>
      <c r="I29" s="100">
        <f>+DreamtowerCasino!K34/1000</f>
        <v>17.92937757</v>
      </c>
      <c r="J29" s="98">
        <f>+DreamtowerCasino!X34</f>
        <v>4.4331447181818184</v>
      </c>
      <c r="K29" s="100">
        <f>+DreamtowerCasino!I34/1000</f>
        <v>16.069050878999999</v>
      </c>
      <c r="L29" s="100">
        <f>+DreamtowerCasino!J34/1000</f>
        <v>1.860326691</v>
      </c>
      <c r="M29" s="99">
        <f>+DreamtowerCasino!H34</f>
        <v>0.13150592585358201</v>
      </c>
      <c r="N29" s="99">
        <f>+DreamtowerCasino!F34</f>
        <v>0.13745519529123051</v>
      </c>
      <c r="O29" s="99">
        <f>+DreamtowerCasino!G34</f>
        <v>9.5720364664823893E-2</v>
      </c>
    </row>
    <row r="30" spans="2:15">
      <c r="B30" s="96">
        <f>+DreamtowerCasino!B35</f>
        <v>45291</v>
      </c>
      <c r="C30" s="100">
        <f>+DreamtowerCasino!E35/1000</f>
        <v>138.38929957099998</v>
      </c>
      <c r="D30" s="99">
        <f>+DreamtowerCasino!R35</f>
        <v>0.89278796907568969</v>
      </c>
      <c r="E30" s="100">
        <f>+DreamtowerCasino!C35/1000</f>
        <v>126.23984</v>
      </c>
      <c r="F30" s="100">
        <f>+DreamtowerCasino!D35/1000</f>
        <v>12.149459571</v>
      </c>
      <c r="G30" s="102">
        <f t="shared" si="0"/>
        <v>4.8852477962086978</v>
      </c>
      <c r="H30" s="97">
        <f>+DreamtowerCasino!L35</f>
        <v>28328</v>
      </c>
      <c r="I30" s="100">
        <f>+DreamtowerCasino!K35/1000</f>
        <v>14.339663721000001</v>
      </c>
      <c r="J30" s="98">
        <f>+DreamtowerCasino!X35</f>
        <v>5.8775365568345324</v>
      </c>
      <c r="K30" s="100">
        <f>+DreamtowerCasino!I35/1000</f>
        <v>13.320839913000002</v>
      </c>
      <c r="L30" s="100">
        <f>+DreamtowerCasino!J35/1000</f>
        <v>1.0188238080000001</v>
      </c>
      <c r="M30" s="99">
        <f>+DreamtowerCasino!H35</f>
        <v>0.10361829827488291</v>
      </c>
      <c r="N30" s="99">
        <f>+DreamtowerCasino!F35</f>
        <v>0.10552009502705328</v>
      </c>
      <c r="O30" s="99">
        <f>+DreamtowerCasino!G35</f>
        <v>8.3857541320757081E-2</v>
      </c>
    </row>
    <row r="31" spans="2:15">
      <c r="B31" s="96">
        <f>+DreamtowerCasino!B36</f>
        <v>45322</v>
      </c>
      <c r="C31" s="100">
        <f>+DreamtowerCasino!E36/1000</f>
        <v>131.85820526799998</v>
      </c>
      <c r="D31" s="99">
        <f>+DreamtowerCasino!R36</f>
        <v>0.78317158452013924</v>
      </c>
      <c r="E31" s="100">
        <f>+DreamtowerCasino!C36/1000</f>
        <v>120.82145299999999</v>
      </c>
      <c r="F31" s="100">
        <f>+DreamtowerCasino!D36/1000</f>
        <v>11.036752268000001</v>
      </c>
      <c r="G31" s="102">
        <f t="shared" si="0"/>
        <v>5.024126701009715</v>
      </c>
      <c r="H31" s="97">
        <f>+DreamtowerCasino!L36</f>
        <v>26245</v>
      </c>
      <c r="I31" s="100">
        <f>+DreamtowerCasino!K36/1000</f>
        <v>23.878225665000002</v>
      </c>
      <c r="J31" s="98">
        <f>+DreamtowerCasino!X36</f>
        <v>2.6778053475339476</v>
      </c>
      <c r="K31" s="100">
        <f>+DreamtowerCasino!I36/1000</f>
        <v>22.746802987000002</v>
      </c>
      <c r="L31" s="100">
        <f>+DreamtowerCasino!J36/1000</f>
        <v>1.1314226779999998</v>
      </c>
      <c r="M31" s="99">
        <f>+DreamtowerCasino!H36</f>
        <v>0.18109017650033865</v>
      </c>
      <c r="N31" s="99">
        <f>+DreamtowerCasino!F36</f>
        <v>0.18826791453170161</v>
      </c>
      <c r="O31" s="99">
        <f>+DreamtowerCasino!G36</f>
        <v>0.10251409568016226</v>
      </c>
    </row>
    <row r="32" spans="2:15">
      <c r="B32" s="96">
        <f>+DreamtowerCasino!B37</f>
        <v>45351</v>
      </c>
      <c r="C32" s="100">
        <f>+DreamtowerCasino!E37/1000</f>
        <v>117.65795535399999</v>
      </c>
      <c r="D32" s="99">
        <f>+DreamtowerCasino!R37</f>
        <v>1.3372770359257435</v>
      </c>
      <c r="E32" s="100">
        <f>+DreamtowerCasino!C37/1000</f>
        <v>105.444946</v>
      </c>
      <c r="F32" s="100">
        <f>+DreamtowerCasino!D37/1000</f>
        <v>12.213009354</v>
      </c>
      <c r="G32" s="102">
        <f t="shared" si="0"/>
        <v>4.645370947331017</v>
      </c>
      <c r="H32" s="97">
        <f>+DreamtowerCasino!L37</f>
        <v>25328</v>
      </c>
      <c r="I32" s="100">
        <f>+DreamtowerCasino!K37/1000</f>
        <v>23.943991439000001</v>
      </c>
      <c r="J32" s="98">
        <f>+DreamtowerCasino!X37</f>
        <v>5.3833976666868866</v>
      </c>
      <c r="K32" s="100">
        <f>+DreamtowerCasino!I37/1000</f>
        <v>22.776296588000001</v>
      </c>
      <c r="L32" s="100">
        <f>+DreamtowerCasino!J37/1000</f>
        <v>1.167694851</v>
      </c>
      <c r="M32" s="99">
        <f>+DreamtowerCasino!H37</f>
        <v>0.20350507848754643</v>
      </c>
      <c r="N32" s="99">
        <f>+DreamtowerCasino!F37</f>
        <v>0.21600178531079148</v>
      </c>
      <c r="O32" s="99">
        <f>+DreamtowerCasino!G37</f>
        <v>9.5610739102361939E-2</v>
      </c>
    </row>
    <row r="33" spans="2:15">
      <c r="B33" s="96">
        <f>+DreamtowerCasino!B38</f>
        <v>45382</v>
      </c>
      <c r="C33" s="100">
        <f>+DreamtowerCasino!E38/1000</f>
        <v>135.15713923800001</v>
      </c>
      <c r="D33" s="99">
        <f>+DreamtowerCasino!R38</f>
        <v>0.29119967826056059</v>
      </c>
      <c r="E33" s="100">
        <f>+DreamtowerCasino!C38/1000</f>
        <v>121.94096400000001</v>
      </c>
      <c r="F33" s="100">
        <f>+DreamtowerCasino!D38/1000</f>
        <v>13.216175238</v>
      </c>
      <c r="G33" s="102">
        <f t="shared" si="0"/>
        <v>4.8830210353697749</v>
      </c>
      <c r="H33" s="97">
        <f>+DreamtowerCasino!L38</f>
        <v>27679</v>
      </c>
      <c r="I33" s="100">
        <f>+DreamtowerCasino!K38/1000</f>
        <v>22.18588282</v>
      </c>
      <c r="J33" s="98">
        <f>+DreamtowerCasino!X38</f>
        <v>2.6288277406678082</v>
      </c>
      <c r="K33" s="100">
        <f>+DreamtowerCasino!I38/1000</f>
        <v>21.138824975999999</v>
      </c>
      <c r="L33" s="100">
        <f>+DreamtowerCasino!J38/1000</f>
        <v>1.047057844</v>
      </c>
      <c r="M33" s="99">
        <f>+DreamtowerCasino!H38</f>
        <v>0.16414880445887939</v>
      </c>
      <c r="N33" s="99">
        <f>+DreamtowerCasino!F38</f>
        <v>0.17335294295360826</v>
      </c>
      <c r="O33" s="99">
        <f>+DreamtowerCasino!G38</f>
        <v>7.9225481286706284E-2</v>
      </c>
    </row>
    <row r="34" spans="2:15">
      <c r="B34" s="96">
        <f>+DreamtowerCasino!B39</f>
        <v>45412</v>
      </c>
      <c r="C34" s="100">
        <f>+DreamtowerCasino!E39/1000</f>
        <v>140.15859456800001</v>
      </c>
      <c r="D34" s="99">
        <f>+DreamtowerCasino!R39</f>
        <v>0.3229043606908335</v>
      </c>
      <c r="E34" s="100">
        <f>+DreamtowerCasino!C39/1000</f>
        <v>128.312228</v>
      </c>
      <c r="F34" s="100">
        <f>+DreamtowerCasino!D39/1000</f>
        <v>11.846366567999999</v>
      </c>
      <c r="G34" s="102">
        <f t="shared" si="0"/>
        <v>4.9818225125470965</v>
      </c>
      <c r="H34" s="97">
        <f>+DreamtowerCasino!L39</f>
        <v>28134</v>
      </c>
      <c r="I34" s="100">
        <f>+DreamtowerCasino!K39/1000</f>
        <v>20.392012737999998</v>
      </c>
      <c r="J34" s="98">
        <f>+DreamtowerCasino!X39</f>
        <v>1.0483597555295607</v>
      </c>
      <c r="K34" s="100">
        <f>+DreamtowerCasino!I39/1000</f>
        <v>19.519473291999997</v>
      </c>
      <c r="L34" s="100">
        <f>+DreamtowerCasino!J39/1000</f>
        <v>0.872539446</v>
      </c>
      <c r="M34" s="99">
        <f>+DreamtowerCasino!H39</f>
        <v>0.14549241736372087</v>
      </c>
      <c r="N34" s="99">
        <f>+DreamtowerCasino!F39</f>
        <v>0.15212480989730767</v>
      </c>
      <c r="O34" s="99">
        <f>+DreamtowerCasino!G39</f>
        <v>7.365460464113506E-2</v>
      </c>
    </row>
    <row r="35" spans="2:15">
      <c r="B35" s="96">
        <f>+DreamtowerCasino!B40</f>
        <v>45443</v>
      </c>
      <c r="C35" s="100">
        <f>+DreamtowerCasino!E40/1000</f>
        <v>139.970760939</v>
      </c>
      <c r="D35" s="99">
        <f>+DreamtowerCasino!R40</f>
        <v>0.13412445174633003</v>
      </c>
      <c r="E35" s="100">
        <f>+DreamtowerCasino!C40/1000</f>
        <v>109.204082</v>
      </c>
      <c r="F35" s="100">
        <f>+DreamtowerCasino!D40/1000</f>
        <v>30.766678939000002</v>
      </c>
      <c r="G35" s="102">
        <f t="shared" si="0"/>
        <v>4.7056903996974278</v>
      </c>
      <c r="H35" s="97">
        <f>+DreamtowerCasino!L40</f>
        <v>29745</v>
      </c>
      <c r="I35" s="100">
        <f>+DreamtowerCasino!K40/1000</f>
        <v>27.111818106999998</v>
      </c>
      <c r="J35" s="98">
        <f>+DreamtowerCasino!X40</f>
        <v>1.3741702767617774</v>
      </c>
      <c r="K35" s="100">
        <f>+DreamtowerCasino!I40/1000</f>
        <v>24.543971624999998</v>
      </c>
      <c r="L35" s="100">
        <f>+DreamtowerCasino!J40/1000</f>
        <v>2.5678464819999998</v>
      </c>
      <c r="M35" s="99">
        <f>+DreamtowerCasino!H40</f>
        <v>0.19369629717749032</v>
      </c>
      <c r="N35" s="99">
        <f>+DreamtowerCasino!F40</f>
        <v>0.22475324342729239</v>
      </c>
      <c r="O35" s="99">
        <f>+DreamtowerCasino!G40</f>
        <v>8.3461932537183411E-2</v>
      </c>
    </row>
    <row r="36" spans="2:15">
      <c r="B36" s="96">
        <f>+DreamtowerCasino!B41</f>
        <v>45473</v>
      </c>
      <c r="C36" s="100">
        <f>+DreamtowerCasino!E41/1000</f>
        <v>130.06586710100001</v>
      </c>
      <c r="D36" s="99">
        <f>+DreamtowerCasino!R41</f>
        <v>0.14356890798464206</v>
      </c>
      <c r="E36" s="100">
        <f>+DreamtowerCasino!C41/1000</f>
        <v>115.64690300000001</v>
      </c>
      <c r="F36" s="100">
        <f>+DreamtowerCasino!D41/1000</f>
        <v>14.418964101</v>
      </c>
      <c r="G36" s="102">
        <f t="shared" ref="G36:G56" si="1">+C36/H36*1000</f>
        <v>4.5171170070500803</v>
      </c>
      <c r="H36" s="97">
        <f>+DreamtowerCasino!L41</f>
        <v>28794</v>
      </c>
      <c r="I36" s="100">
        <f>+DreamtowerCasino!K41/1000</f>
        <v>19.034718196</v>
      </c>
      <c r="J36" s="98">
        <f>+DreamtowerCasino!X41</f>
        <v>0.84825972046824449</v>
      </c>
      <c r="K36" s="100">
        <f>+DreamtowerCasino!I41/1000</f>
        <v>17.840688167</v>
      </c>
      <c r="L36" s="100">
        <f>+DreamtowerCasino!J41/1000</f>
        <v>1.1940300290000001</v>
      </c>
      <c r="M36" s="99">
        <f>+DreamtowerCasino!H41</f>
        <v>0.14634675968614408</v>
      </c>
      <c r="N36" s="99">
        <f>+DreamtowerCasino!F41</f>
        <v>0.15426862029327321</v>
      </c>
      <c r="O36" s="99">
        <f>+DreamtowerCasino!G41</f>
        <v>8.2809695664419494E-2</v>
      </c>
    </row>
    <row r="37" spans="2:15">
      <c r="B37" s="96">
        <f>+DreamtowerCasino!B42</f>
        <v>45504</v>
      </c>
      <c r="C37" s="100">
        <f>+DreamtowerCasino!E42/1000</f>
        <v>143.52521527000002</v>
      </c>
      <c r="D37" s="99">
        <f>+DreamtowerCasino!R42</f>
        <v>-9.4800598679159798E-2</v>
      </c>
      <c r="E37" s="100">
        <f>+DreamtowerCasino!C42/1000</f>
        <v>124.39471400000001</v>
      </c>
      <c r="F37" s="100">
        <f>+DreamtowerCasino!D42/1000</f>
        <v>19.13050127</v>
      </c>
      <c r="G37" s="102">
        <f t="shared" si="1"/>
        <v>4.1874606935083882</v>
      </c>
      <c r="H37" s="97">
        <f>+DreamtowerCasino!L42</f>
        <v>34275</v>
      </c>
      <c r="I37" s="100">
        <f>+DreamtowerCasino!K42/1000</f>
        <v>22.852943487999998</v>
      </c>
      <c r="J37" s="98">
        <f>+DreamtowerCasino!X42</f>
        <v>0.13750782639536774</v>
      </c>
      <c r="K37" s="100">
        <f>+DreamtowerCasino!I42/1000</f>
        <v>20.883419561</v>
      </c>
      <c r="L37" s="100">
        <f>+DreamtowerCasino!J42/1000</f>
        <v>1.969523927</v>
      </c>
      <c r="M37" s="99">
        <f>+DreamtowerCasino!H42</f>
        <v>0.15922598300938953</v>
      </c>
      <c r="N37" s="99">
        <f>+DreamtowerCasino!F42</f>
        <v>0.16788028115889231</v>
      </c>
      <c r="O37" s="99">
        <f>+DreamtowerCasino!G42</f>
        <v>0.10295202928574385</v>
      </c>
    </row>
    <row r="38" spans="2:15">
      <c r="B38" s="96">
        <f>+DreamtowerCasino!B43</f>
        <v>45535</v>
      </c>
      <c r="C38" s="100">
        <f>+DreamtowerCasino!E43/1000</f>
        <v>188.636138351</v>
      </c>
      <c r="D38" s="99">
        <f>+DreamtowerCasino!R43</f>
        <v>0.17209470277001282</v>
      </c>
      <c r="E38" s="100">
        <f>+DreamtowerCasino!C43/1000</f>
        <v>159.57873599999999</v>
      </c>
      <c r="F38" s="100">
        <f>+DreamtowerCasino!D43/1000</f>
        <v>29.057402351</v>
      </c>
      <c r="G38" s="102">
        <f t="shared" si="1"/>
        <v>5.0311019990131758</v>
      </c>
      <c r="H38" s="97">
        <f>+DreamtowerCasino!L43</f>
        <v>37494</v>
      </c>
      <c r="I38" s="100">
        <f>+DreamtowerCasino!K43/1000</f>
        <v>32.949950325320003</v>
      </c>
      <c r="J38" s="98">
        <f>+DreamtowerCasino!X43</f>
        <v>0.84020074117453114</v>
      </c>
      <c r="K38" s="100">
        <f>+DreamtowerCasino!I43/1000</f>
        <v>29.722148117</v>
      </c>
      <c r="L38" s="100">
        <f>+DreamtowerCasino!J43/1000</f>
        <v>3.2278022083200004</v>
      </c>
      <c r="M38" s="99">
        <f>+DreamtowerCasino!H43</f>
        <v>0.17467464407063507</v>
      </c>
      <c r="N38" s="99">
        <f>+DreamtowerCasino!F43</f>
        <v>0.18625381339654176</v>
      </c>
      <c r="O38" s="99">
        <f>+DreamtowerCasino!G43</f>
        <v>0.11108364640891297</v>
      </c>
    </row>
    <row r="39" spans="2:15">
      <c r="B39" s="96">
        <f>+DreamtowerCasino!B44</f>
        <v>45565</v>
      </c>
      <c r="C39" s="100">
        <f>+DreamtowerCasino!E44/1000</f>
        <v>143.435150916</v>
      </c>
      <c r="D39" s="99">
        <f>+DreamtowerCasino!R44</f>
        <v>0.17728186279879066</v>
      </c>
      <c r="E39" s="100">
        <f>+DreamtowerCasino!C44/1000</f>
        <v>129.411855</v>
      </c>
      <c r="F39" s="100">
        <f>+DreamtowerCasino!D44/1000</f>
        <v>14.023295915999999</v>
      </c>
      <c r="G39" s="102">
        <f t="shared" si="1"/>
        <v>4.0106014684039817</v>
      </c>
      <c r="H39" s="97">
        <f>+DreamtowerCasino!L44</f>
        <v>35764</v>
      </c>
      <c r="I39" s="100">
        <f>+DreamtowerCasino!K44/1000</f>
        <v>28.422464123000001</v>
      </c>
      <c r="J39" s="98">
        <f>+DreamtowerCasino!X44</f>
        <v>0.98382447881092405</v>
      </c>
      <c r="K39" s="100">
        <f>+DreamtowerCasino!I44/1000</f>
        <v>27.154752193</v>
      </c>
      <c r="L39" s="100">
        <f>+DreamtowerCasino!J44/1000</f>
        <v>1.2677119299999999</v>
      </c>
      <c r="M39" s="99">
        <f>+DreamtowerCasino!H44</f>
        <v>0.1981555005275176</v>
      </c>
      <c r="N39" s="99">
        <f>+DreamtowerCasino!F44</f>
        <v>0.20983202963128841</v>
      </c>
      <c r="O39" s="99">
        <f>+DreamtowerCasino!G44</f>
        <v>9.0400426375770421E-2</v>
      </c>
    </row>
    <row r="40" spans="2:15">
      <c r="B40" s="96">
        <f>+DreamtowerCasino!B45</f>
        <v>45596</v>
      </c>
      <c r="C40" s="100">
        <f>+DreamtowerCasino!E45/1000</f>
        <v>154.00057752200001</v>
      </c>
      <c r="D40" s="99">
        <f>+DreamtowerCasino!R45</f>
        <v>0.26400039055535118</v>
      </c>
      <c r="E40" s="100">
        <f>+DreamtowerCasino!C45/1000</f>
        <v>137.07205999999999</v>
      </c>
      <c r="F40" s="100">
        <f>+DreamtowerCasino!D45/1000</f>
        <v>16.928517522</v>
      </c>
      <c r="G40" s="102">
        <f t="shared" si="1"/>
        <v>4.1273739687500006</v>
      </c>
      <c r="H40" s="97">
        <f>+DreamtowerCasino!L45</f>
        <v>37312</v>
      </c>
      <c r="I40" s="100">
        <f>+DreamtowerCasino!K45/1000</f>
        <v>24.200262740668713</v>
      </c>
      <c r="J40" s="98">
        <f>+DreamtowerCasino!X45</f>
        <v>0.22249370781483524</v>
      </c>
      <c r="K40" s="100">
        <f>+DreamtowerCasino!I45/1000</f>
        <v>23.141495280668714</v>
      </c>
      <c r="L40" s="100">
        <f>+DreamtowerCasino!J45/1000</f>
        <v>1.0587674600000001</v>
      </c>
      <c r="M40" s="99">
        <f>+DreamtowerCasino!H45</f>
        <v>0.15714397393874413</v>
      </c>
      <c r="N40" s="99">
        <f>+DreamtowerCasino!F45</f>
        <v>0.16882722329166655</v>
      </c>
      <c r="O40" s="99">
        <f>+DreamtowerCasino!G45</f>
        <v>6.254342464566344E-2</v>
      </c>
    </row>
    <row r="41" spans="2:15">
      <c r="B41" s="96">
        <f>+DreamtowerCasino!B46</f>
        <v>45626</v>
      </c>
      <c r="C41" s="100">
        <f>+DreamtowerCasino!E46/1000</f>
        <v>147.75800000000001</v>
      </c>
      <c r="D41" s="99">
        <f>+DreamtowerCasino!R46</f>
        <v>-5.63752426273747E-2</v>
      </c>
      <c r="E41" s="100">
        <f>+DreamtowerCasino!C46/1000</f>
        <v>133.102</v>
      </c>
      <c r="F41" s="100">
        <f>+DreamtowerCasino!D46/1000</f>
        <v>14.654999999999999</v>
      </c>
      <c r="G41" s="102">
        <f t="shared" si="1"/>
        <v>4.1259354406344242</v>
      </c>
      <c r="H41" s="97">
        <f>+DreamtowerCasino!L46</f>
        <v>35812</v>
      </c>
      <c r="I41" s="100">
        <f>+DreamtowerCasino!K46/1000</f>
        <v>26.081</v>
      </c>
      <c r="J41" s="98">
        <f>+DreamtowerCasino!X46</f>
        <v>0.4546517244212398</v>
      </c>
      <c r="K41" s="100">
        <f>+DreamtowerCasino!I46/1000</f>
        <v>24.861999999999998</v>
      </c>
      <c r="L41" s="100">
        <f>+DreamtowerCasino!J46/1000</f>
        <v>1.2190000000000001</v>
      </c>
      <c r="M41" s="99">
        <f>+DreamtowerCasino!H46</f>
        <v>0.17651159328090527</v>
      </c>
      <c r="N41" s="99">
        <f>+DreamtowerCasino!F46</f>
        <v>0.187</v>
      </c>
      <c r="O41" s="99">
        <f>+DreamtowerCasino!G46</f>
        <v>8.3000000000000004E-2</v>
      </c>
    </row>
    <row r="42" spans="2:15">
      <c r="B42" s="96">
        <f>+DreamtowerCasino!B47</f>
        <v>45656</v>
      </c>
      <c r="C42" s="100">
        <f>+DreamtowerCasino!E47/1000</f>
        <v>152.09200000000001</v>
      </c>
      <c r="D42" s="99">
        <f>+DreamtowerCasino!R47</f>
        <v>0.11554342568976272</v>
      </c>
      <c r="E42" s="100">
        <f>+DreamtowerCasino!C47/1000</f>
        <v>132.77799999999999</v>
      </c>
      <c r="F42" s="100">
        <f>+DreamtowerCasino!D47/1000</f>
        <v>19.314</v>
      </c>
      <c r="G42" s="102">
        <f t="shared" si="1"/>
        <v>4.168046040010962</v>
      </c>
      <c r="H42" s="97">
        <f>+DreamtowerCasino!L47</f>
        <v>36490</v>
      </c>
      <c r="I42" s="100">
        <f>+DreamtowerCasino!K47/1000</f>
        <v>23.599</v>
      </c>
      <c r="J42" s="98">
        <f>+DreamtowerCasino!X47</f>
        <v>0.64571502227349886</v>
      </c>
      <c r="K42" s="100">
        <f>+DreamtowerCasino!I47/1000</f>
        <v>22.154</v>
      </c>
      <c r="L42" s="100">
        <f>+DreamtowerCasino!J47/1000</f>
        <v>1.4450000000000001</v>
      </c>
      <c r="M42" s="99">
        <f>+DreamtowerCasino!H47</f>
        <v>0.15516266470294296</v>
      </c>
      <c r="N42" s="99">
        <f>+DreamtowerCasino!F47</f>
        <v>0.16700000000000001</v>
      </c>
      <c r="O42" s="99">
        <f>+DreamtowerCasino!G47</f>
        <v>7.4999999999999997E-2</v>
      </c>
    </row>
    <row r="43" spans="2:15">
      <c r="B43" s="96">
        <f>+DreamtowerCasino!B48</f>
        <v>45688</v>
      </c>
      <c r="C43" s="100">
        <f>+DreamtowerCasino!E48/1000</f>
        <v>137.78700000000001</v>
      </c>
      <c r="D43" s="99">
        <f>+DreamtowerCasino!R48</f>
        <v>4.4963411415693155E-2</v>
      </c>
      <c r="E43" s="100">
        <f>+DreamtowerCasino!C48/1000</f>
        <v>121.09099999999999</v>
      </c>
      <c r="F43" s="100">
        <f>+DreamtowerCasino!D48/1000</f>
        <v>16.695</v>
      </c>
      <c r="G43" s="102">
        <f t="shared" si="1"/>
        <v>4.0689543159200312</v>
      </c>
      <c r="H43" s="97">
        <f>+DreamtowerCasino!L48</f>
        <v>33863</v>
      </c>
      <c r="I43" s="100">
        <f>+DreamtowerCasino!K48/1000</f>
        <v>29.422999999999998</v>
      </c>
      <c r="J43" s="98">
        <f>+DreamtowerCasino!X48</f>
        <v>0.2322104838437542</v>
      </c>
      <c r="K43" s="100">
        <f>+DreamtowerCasino!I48/1000</f>
        <v>28.143999999999998</v>
      </c>
      <c r="L43" s="100">
        <f>+DreamtowerCasino!J48/1000</f>
        <v>1.2789999999999999</v>
      </c>
      <c r="M43" s="99">
        <f>+DreamtowerCasino!H48</f>
        <v>0.21353973887231742</v>
      </c>
      <c r="N43" s="99">
        <f>+DreamtowerCasino!F48</f>
        <v>0.23200000000000001</v>
      </c>
      <c r="O43" s="99">
        <f>+DreamtowerCasino!G48</f>
        <v>7.6999999999999999E-2</v>
      </c>
    </row>
    <row r="44" spans="2:15">
      <c r="B44" s="96">
        <f>+DreamtowerCasino!B49</f>
        <v>45716</v>
      </c>
      <c r="C44" s="100">
        <f>+DreamtowerCasino!E49/1000</f>
        <v>165.26900000000001</v>
      </c>
      <c r="D44" s="99">
        <f>+DreamtowerCasino!R49</f>
        <v>0.40465640000926117</v>
      </c>
      <c r="E44" s="100">
        <f>+DreamtowerCasino!C49/1000</f>
        <v>140.624</v>
      </c>
      <c r="F44" s="100">
        <f>+DreamtowerCasino!D49/1000</f>
        <v>24.646000000000001</v>
      </c>
      <c r="G44" s="102">
        <f t="shared" si="1"/>
        <v>4.7102630603927382</v>
      </c>
      <c r="H44" s="97">
        <f>+DreamtowerCasino!L49</f>
        <v>35087</v>
      </c>
      <c r="I44" s="100">
        <f>+DreamtowerCasino!K49/1000</f>
        <v>22.617000000000001</v>
      </c>
      <c r="J44" s="98">
        <f>+DreamtowerCasino!X49</f>
        <v>-5.5420644564656674E-2</v>
      </c>
      <c r="K44" s="100">
        <f>+DreamtowerCasino!I49/1000</f>
        <v>20.710999999999999</v>
      </c>
      <c r="L44" s="100">
        <f>+DreamtowerCasino!J49/1000</f>
        <v>1.9059999999999999</v>
      </c>
      <c r="M44" s="99">
        <f>+DreamtowerCasino!H49</f>
        <v>0.13684962092104389</v>
      </c>
      <c r="N44" s="99">
        <f>+DreamtowerCasino!F49</f>
        <v>0.14699999999999999</v>
      </c>
      <c r="O44" s="99">
        <f>+DreamtowerCasino!G49</f>
        <v>7.6999999999999999E-2</v>
      </c>
    </row>
    <row r="45" spans="2:15">
      <c r="B45" s="96">
        <f>+DreamtowerCasino!B50</f>
        <v>45741</v>
      </c>
      <c r="C45" s="100">
        <f>+DreamtowerCasino!E50/1000</f>
        <v>178.89400000000001</v>
      </c>
      <c r="D45" s="99">
        <f>+DreamtowerCasino!R50</f>
        <v>0.3236000777212602</v>
      </c>
      <c r="E45" s="100">
        <f>+DreamtowerCasino!C50/1000</f>
        <v>157.96899999999999</v>
      </c>
      <c r="F45" s="100">
        <f>+DreamtowerCasino!D50/1000</f>
        <v>20.925000000000001</v>
      </c>
      <c r="G45" s="102">
        <f t="shared" si="1"/>
        <v>4.3974828544037754</v>
      </c>
      <c r="H45" s="97">
        <f>+DreamtowerCasino!L50</f>
        <v>40681</v>
      </c>
      <c r="I45" s="100">
        <f>+DreamtowerCasino!K50/1000</f>
        <v>32.505000000000003</v>
      </c>
      <c r="J45" s="98">
        <f>+DreamtowerCasino!X50</f>
        <v>0.46512087275145908</v>
      </c>
      <c r="K45" s="100">
        <f>+DreamtowerCasino!I50/1000</f>
        <v>30.934999999999999</v>
      </c>
      <c r="L45" s="100">
        <f>+DreamtowerCasino!J50/1000</f>
        <v>1.57</v>
      </c>
      <c r="M45" s="99">
        <f>+DreamtowerCasino!H50</f>
        <v>0.18169977752188446</v>
      </c>
      <c r="N45" s="99">
        <f>+DreamtowerCasino!F50</f>
        <v>0.19600000000000001</v>
      </c>
      <c r="O45" s="99">
        <f>+DreamtowerCasino!G50</f>
        <v>7.4999999999999997E-2</v>
      </c>
    </row>
    <row r="46" spans="2:15">
      <c r="B46" s="96">
        <f>+DreamtowerCasino!B51</f>
        <v>45772</v>
      </c>
      <c r="C46" s="100">
        <f>+DreamtowerCasino!E51/1000</f>
        <v>210.482</v>
      </c>
      <c r="D46" s="99">
        <f>+DreamtowerCasino!R51</f>
        <v>0.50174165664797354</v>
      </c>
      <c r="E46" s="100">
        <f>+DreamtowerCasino!C51/1000</f>
        <v>188.83600000000001</v>
      </c>
      <c r="F46" s="100">
        <f>+DreamtowerCasino!D51/1000</f>
        <v>21.646000000000001</v>
      </c>
      <c r="G46" s="102">
        <f t="shared" si="1"/>
        <v>4.6003977881231828</v>
      </c>
      <c r="H46" s="97">
        <f>+DreamtowerCasino!L51</f>
        <v>45753</v>
      </c>
      <c r="I46" s="100">
        <f>+DreamtowerCasino!K51/1000</f>
        <v>32.880000000000003</v>
      </c>
      <c r="J46" s="98">
        <f>+DreamtowerCasino!X51</f>
        <v>0.61239601124458676</v>
      </c>
      <c r="K46" s="100">
        <f>+DreamtowerCasino!I51/1000</f>
        <v>31.126000000000001</v>
      </c>
      <c r="L46" s="100">
        <f>+DreamtowerCasino!J51/1000</f>
        <v>1.754</v>
      </c>
      <c r="M46" s="99">
        <f>+DreamtowerCasino!H51</f>
        <v>0.15621288281183188</v>
      </c>
      <c r="N46" s="99">
        <f>+DreamtowerCasino!F51</f>
        <v>0.16500000000000001</v>
      </c>
      <c r="O46" s="99">
        <f>+DreamtowerCasino!G51</f>
        <v>8.1000000000000003E-2</v>
      </c>
    </row>
    <row r="47" spans="2:15">
      <c r="B47" s="96">
        <f>+DreamtowerCasino!B52</f>
        <v>45802</v>
      </c>
      <c r="C47" s="100">
        <f>+DreamtowerCasino!E52/1000</f>
        <v>216.334</v>
      </c>
      <c r="D47" s="99">
        <f>+DreamtowerCasino!R52</f>
        <v>0.54556564920211814</v>
      </c>
      <c r="E47" s="100">
        <f>+DreamtowerCasino!C52/1000</f>
        <v>194.191</v>
      </c>
      <c r="F47" s="100">
        <f>+DreamtowerCasino!D52/1000</f>
        <v>22.143000000000001</v>
      </c>
      <c r="G47" s="102">
        <f t="shared" si="1"/>
        <v>4.2246958423653016</v>
      </c>
      <c r="H47" s="97">
        <f>+DreamtowerCasino!L52</f>
        <v>51207</v>
      </c>
      <c r="I47" s="100">
        <f>+DreamtowerCasino!K52/1000</f>
        <v>41.36</v>
      </c>
      <c r="J47" s="98">
        <f>+DreamtowerCasino!X52</f>
        <v>0.525533988047864</v>
      </c>
      <c r="K47" s="100">
        <f>+DreamtowerCasino!I52/1000</f>
        <v>39.396000000000001</v>
      </c>
      <c r="L47" s="100">
        <f>+DreamtowerCasino!J52/1000</f>
        <v>1.964</v>
      </c>
      <c r="M47" s="99">
        <f>+DreamtowerCasino!H52</f>
        <v>0.19118585150739134</v>
      </c>
      <c r="N47" s="99">
        <f>+DreamtowerCasino!F52</f>
        <v>0.20300000000000001</v>
      </c>
      <c r="O47" s="99">
        <f>+DreamtowerCasino!G52</f>
        <v>8.8999999999999996E-2</v>
      </c>
    </row>
    <row r="48" spans="2:15">
      <c r="B48" s="96">
        <f>+DreamtowerCasino!B53</f>
        <v>45833</v>
      </c>
      <c r="C48" s="100">
        <f>+DreamtowerCasino!E53/1000</f>
        <v>241.70699999999999</v>
      </c>
      <c r="D48" s="99">
        <f>+DreamtowerCasino!R53</f>
        <v>0.85834304869783651</v>
      </c>
      <c r="E48" s="100">
        <f>+DreamtowerCasino!C53/1000</f>
        <v>219.21100000000001</v>
      </c>
      <c r="F48" s="100">
        <f>+DreamtowerCasino!D53/1000</f>
        <v>22.495999999999999</v>
      </c>
      <c r="G48" s="102">
        <f t="shared" si="1"/>
        <v>4.6919732116859167</v>
      </c>
      <c r="H48" s="97">
        <f>+DreamtowerCasino!L53</f>
        <v>51515</v>
      </c>
      <c r="I48" s="100">
        <f>+DreamtowerCasino!K53/1000</f>
        <v>35.798999999999999</v>
      </c>
      <c r="J48" s="98">
        <f>+DreamtowerCasino!X53</f>
        <v>0.88072130258922776</v>
      </c>
      <c r="K48" s="100">
        <f>+DreamtowerCasino!I53/1000</f>
        <v>34.362000000000002</v>
      </c>
      <c r="L48" s="100">
        <f>+DreamtowerCasino!J53/1000</f>
        <v>1.4370000000000001</v>
      </c>
      <c r="M48" s="99">
        <f>+DreamtowerCasino!H53</f>
        <v>0.14810907420968364</v>
      </c>
      <c r="N48" s="99">
        <f>+DreamtowerCasino!F53</f>
        <v>0.157</v>
      </c>
      <c r="O48" s="99">
        <f>+DreamtowerCasino!G53</f>
        <v>6.4000000000000001E-2</v>
      </c>
    </row>
    <row r="49" spans="2:15">
      <c r="B49" s="96">
        <f>+DreamtowerCasino!B54</f>
        <v>45863</v>
      </c>
      <c r="C49" s="100">
        <f>+DreamtowerCasino!E54/1000</f>
        <v>274.19400000000002</v>
      </c>
      <c r="D49" s="99">
        <f>+DreamtowerCasino!R54</f>
        <v>0.91042388951784892</v>
      </c>
      <c r="E49" s="100">
        <f>+DreamtowerCasino!C54/1000</f>
        <v>240.566</v>
      </c>
      <c r="F49" s="100">
        <f>+DreamtowerCasino!D54/1000</f>
        <v>33.628</v>
      </c>
      <c r="G49" s="102">
        <f t="shared" si="1"/>
        <v>4.8366407366248616</v>
      </c>
      <c r="H49" s="97">
        <f>+DreamtowerCasino!L54</f>
        <v>56691</v>
      </c>
      <c r="I49" s="100">
        <f>+DreamtowerCasino!K54/1000</f>
        <v>43.412999999999997</v>
      </c>
      <c r="J49" s="98">
        <f>+DreamtowerCasino!X54</f>
        <v>0.89966776152034944</v>
      </c>
      <c r="K49" s="100">
        <f>+DreamtowerCasino!I54/1000</f>
        <v>41.548999999999999</v>
      </c>
      <c r="L49" s="100">
        <f>+DreamtowerCasino!J54/1000</f>
        <v>1.8640000000000001</v>
      </c>
      <c r="M49" s="99">
        <f>+DreamtowerCasino!H54</f>
        <v>0.15832950392787587</v>
      </c>
      <c r="N49" s="99">
        <f>+DreamtowerCasino!F54</f>
        <v>0.17299999999999999</v>
      </c>
      <c r="O49" s="99">
        <f>+DreamtowerCasino!G54</f>
        <v>5.5E-2</v>
      </c>
    </row>
    <row r="50" spans="2:15">
      <c r="B50" s="96">
        <f>+DreamtowerCasino!B55</f>
        <v>45894</v>
      </c>
      <c r="C50" s="100">
        <f>+DreamtowerCasino!E55/1000</f>
        <v>281.08300000000003</v>
      </c>
      <c r="D50" s="99">
        <f>+DreamtowerCasino!R55</f>
        <v>0.49008033379575333</v>
      </c>
      <c r="E50" s="100">
        <f>+DreamtowerCasino!C55/1000</f>
        <v>251.49700000000001</v>
      </c>
      <c r="F50" s="100">
        <f>+DreamtowerCasino!D55/1000</f>
        <v>29.587</v>
      </c>
      <c r="G50" s="102">
        <f t="shared" si="1"/>
        <v>4.9276498019003547</v>
      </c>
      <c r="H50" s="97">
        <f>+DreamtowerCasino!L55</f>
        <v>57042</v>
      </c>
      <c r="I50" s="100">
        <f>+DreamtowerCasino!K55/1000</f>
        <v>42.988</v>
      </c>
      <c r="J50" s="98">
        <f>+DreamtowerCasino!X55</f>
        <v>0.30464536594358305</v>
      </c>
      <c r="K50" s="100">
        <f>+DreamtowerCasino!I55/1000</f>
        <v>41.164999999999999</v>
      </c>
      <c r="L50" s="100">
        <f>+DreamtowerCasino!J55/1000</f>
        <v>1.823</v>
      </c>
      <c r="M50" s="99">
        <f>+DreamtowerCasino!H55</f>
        <v>0.15293703283371815</v>
      </c>
      <c r="N50" s="99">
        <f>+DreamtowerCasino!F55</f>
        <v>0.16400000000000001</v>
      </c>
      <c r="O50" s="99">
        <f>+DreamtowerCasino!G55</f>
        <v>6.2E-2</v>
      </c>
    </row>
    <row r="51" spans="2:15">
      <c r="B51" s="96">
        <f>+DreamtowerCasino!B56</f>
        <v>45925</v>
      </c>
      <c r="C51" s="100">
        <f>+DreamtowerCasino!E56/1000</f>
        <v>293.267</v>
      </c>
      <c r="D51" s="99">
        <f>+DreamtowerCasino!R56</f>
        <v>1.044596447433908</v>
      </c>
      <c r="E51" s="100">
        <f>+DreamtowerCasino!C56/1000</f>
        <v>265.80099999999999</v>
      </c>
      <c r="F51" s="100">
        <f>+DreamtowerCasino!D56/1000</f>
        <v>27.466999999999999</v>
      </c>
      <c r="G51" s="102">
        <f t="shared" si="1"/>
        <v>4.9664182895850972</v>
      </c>
      <c r="H51" s="97">
        <f>+DreamtowerCasino!L56</f>
        <v>59050</v>
      </c>
      <c r="I51" s="100">
        <f>+DreamtowerCasino!K56/1000</f>
        <v>52.948</v>
      </c>
      <c r="J51" s="98">
        <f>+DreamtowerCasino!X56</f>
        <v>0.86289266725306435</v>
      </c>
      <c r="K51" s="100">
        <f>+DreamtowerCasino!I56/1000</f>
        <v>51.115000000000002</v>
      </c>
      <c r="L51" s="100">
        <f>+DreamtowerCasino!J56/1000</f>
        <v>1.8320000000000001</v>
      </c>
      <c r="M51" s="99">
        <f>+DreamtowerCasino!H56</f>
        <v>0.18054537332874138</v>
      </c>
      <c r="N51" s="99">
        <f>+DreamtowerCasino!F56</f>
        <v>0.192</v>
      </c>
      <c r="O51" s="99">
        <f>+DreamtowerCasino!G56</f>
        <v>6.7000000000000004E-2</v>
      </c>
    </row>
    <row r="52" spans="2:15">
      <c r="B52" s="96">
        <f>+DreamtowerCasino!B57</f>
        <v>45955</v>
      </c>
      <c r="C52" s="100">
        <f>+DreamtowerCasino!E57/1000</f>
        <v>284.44299999999998</v>
      </c>
      <c r="D52" s="99">
        <f>+DreamtowerCasino!R57</f>
        <v>0.84702554092282822</v>
      </c>
      <c r="E52" s="100">
        <f>+DreamtowerCasino!C57/1000</f>
        <v>256.84100000000001</v>
      </c>
      <c r="F52" s="100">
        <f>+DreamtowerCasino!D57/1000</f>
        <v>27.602</v>
      </c>
      <c r="G52" s="102">
        <f t="shared" si="1"/>
        <v>4.8901935838806176</v>
      </c>
      <c r="H52" s="97">
        <f>+DreamtowerCasino!L57</f>
        <v>58166</v>
      </c>
      <c r="I52" s="100">
        <f>+DreamtowerCasino!K57/1000</f>
        <v>50.387</v>
      </c>
      <c r="J52" s="98">
        <f>+DreamtowerCasino!X57</f>
        <v>1.0820848327123445</v>
      </c>
      <c r="K52" s="100">
        <f>+DreamtowerCasino!I57/1000</f>
        <v>48.326999999999998</v>
      </c>
      <c r="L52" s="100">
        <f>+DreamtowerCasino!J57/1000</f>
        <v>2.06</v>
      </c>
      <c r="M52" s="99">
        <f>+DreamtowerCasino!H57</f>
        <v>0.17714269642775529</v>
      </c>
      <c r="N52" s="99">
        <f>+DreamtowerCasino!F57</f>
        <v>0.188</v>
      </c>
      <c r="O52" s="99">
        <f>+DreamtowerCasino!G57</f>
        <v>7.4999999999999997E-2</v>
      </c>
    </row>
    <row r="53" spans="2:15">
      <c r="B53" s="96">
        <f>+DreamtowerCasino!B58</f>
        <v>45986</v>
      </c>
      <c r="C53" s="100">
        <f>+DreamtowerCasino!E58/1000</f>
        <v>262.79599999999999</v>
      </c>
      <c r="D53" s="99">
        <f>+DreamtowerCasino!R58</f>
        <v>0.77855682941025184</v>
      </c>
      <c r="E53" s="100">
        <f>+DreamtowerCasino!C58/1000</f>
        <v>235.785</v>
      </c>
      <c r="F53" s="100">
        <f>+DreamtowerCasino!D58/1000</f>
        <v>27.010999999999999</v>
      </c>
      <c r="G53" s="102">
        <f t="shared" si="1"/>
        <v>5.191544843935203</v>
      </c>
      <c r="H53" s="97">
        <f>+DreamtowerCasino!L58</f>
        <v>50620</v>
      </c>
      <c r="I53" s="100">
        <f>+DreamtowerCasino!K58/1000</f>
        <v>51.33</v>
      </c>
      <c r="J53" s="98">
        <f>+DreamtowerCasino!X58</f>
        <v>0.96809938269238138</v>
      </c>
      <c r="K53" s="100">
        <f>+DreamtowerCasino!I58/1000</f>
        <v>49.863</v>
      </c>
      <c r="L53" s="100">
        <f>+DreamtowerCasino!J58/1000</f>
        <v>1.4670000000000001</v>
      </c>
      <c r="M53" s="99">
        <f>+DreamtowerCasino!H58</f>
        <v>0.19532260765004034</v>
      </c>
      <c r="N53" s="99">
        <f>+DreamtowerCasino!F58</f>
        <v>0.21099999999999999</v>
      </c>
      <c r="O53" s="99">
        <f>+DreamtowerCasino!G58</f>
        <v>5.3999999999999999E-2</v>
      </c>
    </row>
    <row r="54" spans="2:15">
      <c r="B54" s="96">
        <f>+DreamtowerCasino!B59</f>
        <v>46016</v>
      </c>
      <c r="C54" s="100">
        <f>+DreamtowerCasino!E59/1000</f>
        <v>221.316145272</v>
      </c>
      <c r="D54" s="99">
        <f>+DreamtowerCasino!R59</f>
        <v>0.45514652494542762</v>
      </c>
      <c r="E54" s="100">
        <f>+DreamtowerCasino!C59/1000</f>
        <v>192.08293700000002</v>
      </c>
      <c r="F54" s="100">
        <f>+DreamtowerCasino!D59/1000</f>
        <v>29.233208271999999</v>
      </c>
      <c r="G54" s="102">
        <f t="shared" si="1"/>
        <v>4.3689153576406019</v>
      </c>
      <c r="H54" s="97">
        <f>+DreamtowerCasino!L59</f>
        <v>50657</v>
      </c>
      <c r="I54" s="100">
        <f>+DreamtowerCasino!K59/1000</f>
        <v>41.005846710999997</v>
      </c>
      <c r="J54" s="98">
        <f>+DreamtowerCasino!X59</f>
        <v>0.73760950510614842</v>
      </c>
      <c r="K54" s="100">
        <f>+DreamtowerCasino!I59/1000</f>
        <v>38.889482223000002</v>
      </c>
      <c r="L54" s="100">
        <f>+DreamtowerCasino!J59/1000</f>
        <v>2.1163644880000003</v>
      </c>
      <c r="M54" s="99">
        <f>+DreamtowerCasino!H59</f>
        <v>0.18528176812678243</v>
      </c>
      <c r="N54" s="99">
        <f>+DreamtowerCasino!F59</f>
        <v>0.2024619304056143</v>
      </c>
      <c r="O54" s="99">
        <f>+DreamtowerCasino!G59</f>
        <v>7.2395902232430823E-2</v>
      </c>
    </row>
    <row r="55" spans="2:15">
      <c r="B55" s="96">
        <f>+DreamtowerCasino!B60</f>
        <v>46023</v>
      </c>
      <c r="C55" s="100">
        <f>+DreamtowerCasino!E60/1000</f>
        <v>261.562416052</v>
      </c>
      <c r="D55" s="99">
        <f>+DreamtowerCasino!R60</f>
        <v>0.89830982641323187</v>
      </c>
      <c r="E55" s="100">
        <f>+DreamtowerCasino!C60/1000</f>
        <v>233.50114499999998</v>
      </c>
      <c r="F55" s="100">
        <f>+DreamtowerCasino!D60/1000</f>
        <v>28.061271051999999</v>
      </c>
      <c r="G55" s="102">
        <f t="shared" si="1"/>
        <v>4.9303026474402474</v>
      </c>
      <c r="H55" s="97">
        <f>+DreamtowerCasino!L60</f>
        <v>53052</v>
      </c>
      <c r="I55" s="100">
        <f>+DreamtowerCasino!K60/1000</f>
        <v>45.59745908</v>
      </c>
      <c r="J55" s="98">
        <f>+DreamtowerCasino!X60</f>
        <v>0.54972161506304595</v>
      </c>
      <c r="K55" s="100">
        <f>+DreamtowerCasino!I60/1000</f>
        <v>43.730717276</v>
      </c>
      <c r="L55" s="100">
        <f>+DreamtowerCasino!J60/1000</f>
        <v>1.8667418039999999</v>
      </c>
      <c r="M55" s="99">
        <f>+DreamtowerCasino!H60</f>
        <v>0.17432725912324876</v>
      </c>
      <c r="N55" s="99">
        <f>+DreamtowerCasino!F60</f>
        <v>0.1872826673976267</v>
      </c>
      <c r="O55" s="99">
        <f>+DreamtowerCasino!G60</f>
        <v>6.6523779359130369E-2</v>
      </c>
    </row>
    <row r="56" spans="2:15">
      <c r="B56" s="96">
        <f>+DreamtowerCasino!B61</f>
        <v>46054</v>
      </c>
      <c r="C56" s="100">
        <f>+DreamtowerCasino!E61/1000</f>
        <v>172.923063316</v>
      </c>
      <c r="D56" s="99">
        <f>+DreamtowerCasino!R61</f>
        <v>4.631275869037732E-2</v>
      </c>
      <c r="E56" s="100">
        <f>+DreamtowerCasino!C61/1000</f>
        <v>151.46694399999998</v>
      </c>
      <c r="F56" s="100">
        <f>+DreamtowerCasino!D61/1000</f>
        <v>21.456119315999999</v>
      </c>
      <c r="G56" s="102">
        <f t="shared" si="1"/>
        <v>3.9377661637746506</v>
      </c>
      <c r="H56" s="97">
        <f>+DreamtowerCasino!L61</f>
        <v>43914</v>
      </c>
      <c r="I56" s="100">
        <f>+DreamtowerCasino!K61/1000</f>
        <v>32.632347948067483</v>
      </c>
      <c r="J56" s="98">
        <f>+DreamtowerCasino!X61</f>
        <v>0.44282389123524268</v>
      </c>
      <c r="K56" s="100">
        <f>+DreamtowerCasino!I61/1000</f>
        <v>30.859030770227484</v>
      </c>
      <c r="L56" s="100">
        <f>+DreamtowerCasino!J61/1000</f>
        <v>1.7733171778399999</v>
      </c>
      <c r="M56" s="99">
        <f>+DreamtowerCasino!H61</f>
        <v>0.18871021205791999</v>
      </c>
      <c r="N56" s="99">
        <f>+DreamtowerCasino!F61</f>
        <v>0.20373442518406845</v>
      </c>
      <c r="O56" s="99">
        <f>+DreamtowerCasino!G61</f>
        <v>8.264855129313263E-2</v>
      </c>
    </row>
    <row r="57" spans="2:15">
      <c r="B57" s="96"/>
      <c r="C57" s="97"/>
      <c r="D57" s="97"/>
      <c r="E57" s="97"/>
      <c r="F57" s="97"/>
      <c r="H57" s="97"/>
      <c r="I57" s="97"/>
      <c r="J57" s="97"/>
      <c r="K57" s="97"/>
      <c r="L57" s="97"/>
      <c r="M57" s="18"/>
      <c r="N57" s="18"/>
      <c r="O57" s="18"/>
    </row>
    <row r="58" spans="2:15">
      <c r="B58" s="96"/>
      <c r="C58" s="97"/>
      <c r="D58" s="97"/>
      <c r="E58" s="97"/>
      <c r="F58" s="97"/>
      <c r="H58" s="97"/>
      <c r="I58" s="97"/>
      <c r="J58" s="97"/>
      <c r="K58" s="97"/>
      <c r="L58" s="97"/>
      <c r="M58" s="18"/>
      <c r="N58" s="18"/>
      <c r="O58" s="18"/>
    </row>
    <row r="59" spans="2:15">
      <c r="B59" s="96"/>
      <c r="C59" s="97"/>
      <c r="D59" s="97"/>
      <c r="E59" s="97"/>
      <c r="F59" s="97"/>
      <c r="H59" s="97"/>
      <c r="I59" s="97"/>
      <c r="J59" s="97"/>
      <c r="K59" s="97"/>
      <c r="L59" s="97"/>
      <c r="M59" s="18"/>
      <c r="N59" s="18"/>
      <c r="O59" s="18"/>
    </row>
    <row r="60" spans="2:15">
      <c r="B60" s="96"/>
      <c r="C60" s="97"/>
      <c r="D60" s="97"/>
      <c r="E60" s="97"/>
      <c r="F60" s="97"/>
      <c r="H60" s="97"/>
      <c r="I60" s="97"/>
      <c r="J60" s="97"/>
      <c r="K60" s="97"/>
      <c r="L60" s="97"/>
      <c r="M60" s="18"/>
      <c r="N60" s="18"/>
      <c r="O60" s="18"/>
    </row>
    <row r="61" spans="2:15">
      <c r="B61" s="96"/>
      <c r="C61" s="97"/>
      <c r="D61" s="97"/>
      <c r="E61" s="97"/>
      <c r="F61" s="97"/>
      <c r="H61" s="97"/>
      <c r="I61" s="97"/>
      <c r="J61" s="97"/>
      <c r="K61" s="97"/>
      <c r="L61" s="97"/>
      <c r="M61" s="18"/>
      <c r="N61" s="18"/>
      <c r="O61" s="18"/>
    </row>
    <row r="62" spans="2:15">
      <c r="B62" s="96"/>
      <c r="C62" s="97"/>
      <c r="D62" s="97"/>
      <c r="E62" s="97"/>
      <c r="F62" s="97"/>
      <c r="H62" s="97"/>
      <c r="I62" s="97"/>
      <c r="J62" s="97"/>
      <c r="K62" s="97"/>
      <c r="L62" s="97"/>
      <c r="M62" s="18"/>
      <c r="N62" s="18"/>
      <c r="O62" s="18"/>
    </row>
    <row r="63" spans="2:15">
      <c r="B63" s="96"/>
      <c r="C63" s="97"/>
      <c r="D63" s="97"/>
      <c r="E63" s="97"/>
      <c r="F63" s="97"/>
      <c r="H63" s="97"/>
      <c r="I63" s="97"/>
      <c r="J63" s="97"/>
      <c r="K63" s="97"/>
      <c r="L63" s="97"/>
      <c r="M63" s="18"/>
      <c r="N63" s="18"/>
      <c r="O63" s="18"/>
    </row>
    <row r="64" spans="2:15">
      <c r="B64" s="96"/>
      <c r="C64" s="97"/>
      <c r="D64" s="97"/>
      <c r="E64" s="97"/>
      <c r="F64" s="97"/>
      <c r="H64" s="97"/>
      <c r="I64" s="97"/>
      <c r="J64" s="97"/>
      <c r="K64" s="97"/>
      <c r="L64" s="97"/>
      <c r="M64" s="18"/>
      <c r="N64" s="18"/>
      <c r="O64" s="18"/>
    </row>
    <row r="65" spans="2:15">
      <c r="B65" s="96"/>
      <c r="C65" s="97"/>
      <c r="D65" s="97"/>
      <c r="E65" s="97"/>
      <c r="F65" s="97"/>
      <c r="H65" s="97"/>
      <c r="I65" s="97"/>
      <c r="J65" s="97"/>
      <c r="K65" s="97"/>
      <c r="L65" s="97"/>
      <c r="M65" s="18"/>
      <c r="N65" s="18"/>
      <c r="O65" s="18"/>
    </row>
    <row r="66" spans="2:15">
      <c r="B66" s="96"/>
      <c r="C66" s="97"/>
      <c r="D66" s="97"/>
      <c r="E66" s="97"/>
      <c r="F66" s="97"/>
      <c r="H66" s="97"/>
      <c r="I66" s="97"/>
      <c r="J66" s="97"/>
      <c r="K66" s="97"/>
      <c r="L66" s="97"/>
      <c r="M66" s="18"/>
      <c r="N66" s="18"/>
      <c r="O66" s="18"/>
    </row>
    <row r="67" spans="2:15">
      <c r="B67" s="96"/>
      <c r="C67" s="97"/>
      <c r="D67" s="97"/>
      <c r="E67" s="97"/>
      <c r="F67" s="97"/>
      <c r="H67" s="97"/>
      <c r="I67" s="97"/>
      <c r="J67" s="97"/>
      <c r="K67" s="97"/>
      <c r="L67" s="97"/>
      <c r="M67" s="18"/>
      <c r="N67" s="18"/>
      <c r="O67" s="18"/>
    </row>
    <row r="68" spans="2:15">
      <c r="B68" s="96"/>
      <c r="C68" s="97"/>
      <c r="D68" s="97"/>
      <c r="E68" s="97"/>
      <c r="F68" s="97"/>
      <c r="H68" s="97"/>
      <c r="I68" s="97"/>
      <c r="J68" s="97"/>
      <c r="K68" s="97"/>
      <c r="L68" s="97"/>
      <c r="M68" s="18"/>
      <c r="N68" s="18"/>
      <c r="O68" s="18"/>
    </row>
    <row r="69" spans="2:15">
      <c r="B69" s="96"/>
      <c r="C69" s="97"/>
      <c r="D69" s="97"/>
      <c r="E69" s="97"/>
      <c r="F69" s="97"/>
      <c r="H69" s="97"/>
      <c r="I69" s="97"/>
      <c r="J69" s="97"/>
      <c r="K69" s="97"/>
      <c r="L69" s="97"/>
      <c r="M69" s="18"/>
      <c r="N69" s="18"/>
      <c r="O69" s="18"/>
    </row>
    <row r="70" spans="2:15">
      <c r="B70" s="96"/>
      <c r="C70" s="97"/>
      <c r="D70" s="97"/>
      <c r="E70" s="97"/>
      <c r="F70" s="97"/>
      <c r="H70" s="97"/>
      <c r="I70" s="97"/>
      <c r="J70" s="97"/>
      <c r="K70" s="97"/>
      <c r="L70" s="97"/>
      <c r="M70" s="18"/>
      <c r="N70" s="18"/>
      <c r="O70" s="18"/>
    </row>
    <row r="71" spans="2:15">
      <c r="B71" s="96"/>
      <c r="C71" s="97"/>
      <c r="D71" s="97"/>
      <c r="E71" s="97"/>
      <c r="F71" s="97"/>
      <c r="H71" s="97"/>
      <c r="I71" s="97"/>
      <c r="J71" s="97"/>
      <c r="K71" s="97"/>
      <c r="L71" s="97"/>
      <c r="M71" s="18"/>
      <c r="N71" s="18"/>
      <c r="O71" s="18"/>
    </row>
    <row r="72" spans="2:15">
      <c r="B72" s="96"/>
      <c r="C72" s="97"/>
      <c r="D72" s="97"/>
      <c r="E72" s="97"/>
      <c r="F72" s="97"/>
      <c r="H72" s="97"/>
      <c r="I72" s="97"/>
      <c r="J72" s="97"/>
      <c r="K72" s="97"/>
      <c r="L72" s="97"/>
      <c r="M72" s="18"/>
      <c r="N72" s="18"/>
      <c r="O72" s="18"/>
    </row>
    <row r="73" spans="2:15">
      <c r="B73" s="96"/>
      <c r="C73" s="97"/>
      <c r="D73" s="97"/>
      <c r="E73" s="97"/>
      <c r="F73" s="97"/>
      <c r="H73" s="97"/>
      <c r="I73" s="97"/>
      <c r="J73" s="97"/>
      <c r="K73" s="97"/>
      <c r="L73" s="97"/>
      <c r="M73" s="18"/>
      <c r="N73" s="18"/>
      <c r="O73" s="18"/>
    </row>
    <row r="74" spans="2:15">
      <c r="B74" s="96"/>
      <c r="C74" s="97"/>
      <c r="D74" s="97"/>
      <c r="E74" s="97"/>
      <c r="F74" s="97"/>
      <c r="H74" s="97"/>
      <c r="I74" s="97"/>
      <c r="J74" s="97"/>
      <c r="K74" s="97"/>
      <c r="L74" s="97"/>
      <c r="M74" s="18"/>
      <c r="N74" s="18"/>
      <c r="O74" s="18"/>
    </row>
    <row r="75" spans="2:15">
      <c r="B75" s="96"/>
      <c r="C75" s="97"/>
      <c r="D75" s="97"/>
      <c r="E75" s="97"/>
      <c r="F75" s="97"/>
      <c r="H75" s="97"/>
      <c r="I75" s="97"/>
      <c r="J75" s="97"/>
      <c r="K75" s="97"/>
      <c r="L75" s="97"/>
      <c r="M75" s="18"/>
      <c r="N75" s="18"/>
      <c r="O75" s="18"/>
    </row>
    <row r="76" spans="2:15">
      <c r="B76" s="96"/>
      <c r="C76" s="97"/>
      <c r="D76" s="97"/>
      <c r="E76" s="97"/>
      <c r="F76" s="97"/>
      <c r="H76" s="97"/>
      <c r="I76" s="97"/>
      <c r="J76" s="97"/>
      <c r="K76" s="97"/>
      <c r="L76" s="97"/>
      <c r="M76" s="18"/>
      <c r="N76" s="18"/>
      <c r="O76" s="18"/>
    </row>
    <row r="77" spans="2:15">
      <c r="B77" s="96"/>
      <c r="C77" s="97"/>
      <c r="D77" s="97"/>
      <c r="E77" s="97"/>
      <c r="F77" s="97"/>
      <c r="H77" s="97"/>
      <c r="I77" s="97"/>
      <c r="J77" s="97"/>
      <c r="K77" s="97"/>
      <c r="L77" s="97"/>
      <c r="M77" s="18"/>
      <c r="N77" s="18"/>
      <c r="O77" s="18"/>
    </row>
    <row r="78" spans="2:15">
      <c r="B78" s="96"/>
      <c r="C78" s="97"/>
      <c r="D78" s="97"/>
      <c r="E78" s="97"/>
      <c r="F78" s="97"/>
      <c r="H78" s="97"/>
      <c r="I78" s="97"/>
      <c r="J78" s="97"/>
      <c r="K78" s="97"/>
      <c r="L78" s="97"/>
      <c r="M78" s="18"/>
      <c r="N78" s="18"/>
      <c r="O78" s="18"/>
    </row>
    <row r="79" spans="2:15">
      <c r="B79" s="96"/>
      <c r="C79" s="97"/>
      <c r="D79" s="97"/>
      <c r="E79" s="97"/>
      <c r="F79" s="97"/>
      <c r="H79" s="97"/>
      <c r="I79" s="97"/>
      <c r="J79" s="97"/>
      <c r="K79" s="97"/>
      <c r="L79" s="97"/>
      <c r="M79" s="18"/>
      <c r="N79" s="18"/>
      <c r="O79" s="18"/>
    </row>
    <row r="80" spans="2:15">
      <c r="B80" s="96"/>
      <c r="C80" s="97"/>
      <c r="D80" s="97"/>
      <c r="E80" s="97"/>
      <c r="F80" s="97"/>
      <c r="H80" s="97"/>
      <c r="I80" s="97"/>
      <c r="J80" s="97"/>
      <c r="K80" s="97"/>
      <c r="L80" s="97"/>
      <c r="M80" s="18"/>
      <c r="N80" s="18"/>
      <c r="O80" s="18"/>
    </row>
    <row r="81" spans="2:15">
      <c r="B81" s="96"/>
      <c r="C81" s="97"/>
      <c r="D81" s="97"/>
      <c r="E81" s="97"/>
      <c r="F81" s="97"/>
      <c r="H81" s="97"/>
      <c r="I81" s="97"/>
      <c r="J81" s="97"/>
      <c r="K81" s="97"/>
      <c r="L81" s="97"/>
      <c r="M81" s="18"/>
      <c r="N81" s="18"/>
      <c r="O81" s="18"/>
    </row>
    <row r="82" spans="2:15">
      <c r="B82" s="96"/>
      <c r="C82" s="97"/>
      <c r="D82" s="97"/>
      <c r="E82" s="97"/>
      <c r="F82" s="97"/>
      <c r="H82" s="97"/>
      <c r="I82" s="97"/>
      <c r="J82" s="97"/>
      <c r="K82" s="97"/>
      <c r="L82" s="97"/>
      <c r="M82" s="18"/>
      <c r="N82" s="18"/>
      <c r="O82" s="18"/>
    </row>
    <row r="83" spans="2:15">
      <c r="B83" s="96"/>
      <c r="C83" s="97"/>
      <c r="D83" s="97"/>
      <c r="E83" s="97"/>
      <c r="F83" s="97"/>
      <c r="H83" s="97"/>
      <c r="I83" s="97"/>
      <c r="J83" s="97"/>
      <c r="K83" s="97"/>
      <c r="L83" s="97"/>
      <c r="M83" s="18"/>
      <c r="N83" s="18"/>
      <c r="O83" s="18"/>
    </row>
    <row r="84" spans="2:15">
      <c r="B84" s="96"/>
      <c r="C84" s="97"/>
      <c r="D84" s="97"/>
      <c r="E84" s="97"/>
      <c r="F84" s="97"/>
      <c r="H84" s="97"/>
      <c r="I84" s="97"/>
      <c r="J84" s="97"/>
      <c r="K84" s="97"/>
      <c r="L84" s="97"/>
      <c r="M84" s="18"/>
      <c r="N84" s="18"/>
      <c r="O84" s="18"/>
    </row>
    <row r="85" spans="2:15">
      <c r="B85" s="96"/>
      <c r="C85" s="97"/>
      <c r="D85" s="97"/>
      <c r="E85" s="97"/>
      <c r="F85" s="97"/>
      <c r="H85" s="97"/>
      <c r="I85" s="97"/>
      <c r="J85" s="97"/>
      <c r="K85" s="97"/>
      <c r="L85" s="97"/>
      <c r="M85" s="18"/>
      <c r="N85" s="18"/>
      <c r="O85" s="18"/>
    </row>
    <row r="86" spans="2:15">
      <c r="B86" s="96"/>
      <c r="C86" s="97"/>
      <c r="D86" s="97"/>
      <c r="E86" s="97"/>
      <c r="F86" s="97"/>
      <c r="H86" s="97"/>
      <c r="I86" s="97"/>
      <c r="J86" s="97"/>
      <c r="K86" s="97"/>
      <c r="L86" s="97"/>
      <c r="M86" s="18"/>
      <c r="N86" s="18"/>
      <c r="O86" s="18"/>
    </row>
    <row r="87" spans="2:15">
      <c r="B87" s="96"/>
      <c r="C87" s="97"/>
      <c r="D87" s="97"/>
      <c r="E87" s="97"/>
      <c r="F87" s="97"/>
      <c r="H87" s="97"/>
      <c r="I87" s="97"/>
      <c r="J87" s="97"/>
      <c r="K87" s="97"/>
      <c r="L87" s="97"/>
      <c r="M87" s="18"/>
      <c r="N87" s="18"/>
      <c r="O87" s="18"/>
    </row>
    <row r="88" spans="2:15">
      <c r="B88" s="96"/>
      <c r="C88" s="97"/>
      <c r="D88" s="97"/>
      <c r="E88" s="97"/>
      <c r="F88" s="97"/>
      <c r="H88" s="97"/>
      <c r="I88" s="97"/>
      <c r="J88" s="97"/>
      <c r="K88" s="97"/>
      <c r="L88" s="97"/>
      <c r="M88" s="18"/>
      <c r="N88" s="18"/>
      <c r="O88" s="18"/>
    </row>
    <row r="89" spans="2:15">
      <c r="B89" s="96"/>
      <c r="C89" s="97"/>
      <c r="D89" s="97"/>
      <c r="E89" s="97"/>
      <c r="F89" s="97"/>
      <c r="H89" s="97"/>
      <c r="I89" s="97"/>
      <c r="J89" s="97"/>
      <c r="K89" s="97"/>
      <c r="L89" s="97"/>
      <c r="M89" s="18"/>
      <c r="N89" s="18"/>
      <c r="O89" s="18"/>
    </row>
    <row r="90" spans="2:15">
      <c r="B90" s="96"/>
      <c r="C90" s="97"/>
      <c r="D90" s="97"/>
      <c r="E90" s="97"/>
      <c r="F90" s="97"/>
      <c r="H90" s="97"/>
      <c r="I90" s="97"/>
      <c r="J90" s="97"/>
      <c r="K90" s="97"/>
      <c r="L90" s="97"/>
      <c r="M90" s="18"/>
      <c r="N90" s="18"/>
      <c r="O90" s="18"/>
    </row>
    <row r="91" spans="2:15">
      <c r="B91" s="96"/>
      <c r="C91" s="97"/>
      <c r="D91" s="97"/>
      <c r="E91" s="97"/>
      <c r="F91" s="97"/>
      <c r="H91" s="97"/>
      <c r="I91" s="97"/>
      <c r="J91" s="97"/>
      <c r="K91" s="97"/>
      <c r="L91" s="97"/>
      <c r="M91" s="18"/>
      <c r="N91" s="18"/>
      <c r="O91" s="18"/>
    </row>
    <row r="92" spans="2:15">
      <c r="B92" s="96"/>
      <c r="C92" s="97"/>
      <c r="D92" s="97"/>
      <c r="E92" s="97"/>
      <c r="F92" s="97"/>
      <c r="H92" s="97"/>
      <c r="I92" s="97"/>
      <c r="J92" s="97"/>
      <c r="K92" s="97"/>
      <c r="L92" s="97"/>
      <c r="M92" s="18"/>
      <c r="N92" s="18"/>
      <c r="O92" s="18"/>
    </row>
    <row r="93" spans="2:15">
      <c r="B93" s="96"/>
      <c r="C93" s="97"/>
      <c r="D93" s="97"/>
      <c r="E93" s="97"/>
      <c r="F93" s="97"/>
      <c r="H93" s="97"/>
      <c r="I93" s="97"/>
      <c r="J93" s="97"/>
      <c r="K93" s="97"/>
      <c r="L93" s="97"/>
      <c r="M93" s="18"/>
      <c r="N93" s="18"/>
      <c r="O93" s="18"/>
    </row>
    <row r="94" spans="2:15">
      <c r="B94" s="96"/>
      <c r="C94" s="97"/>
      <c r="D94" s="97"/>
      <c r="E94" s="97"/>
      <c r="F94" s="97"/>
      <c r="H94" s="97"/>
      <c r="I94" s="97"/>
      <c r="J94" s="97"/>
      <c r="K94" s="97"/>
      <c r="L94" s="97"/>
      <c r="M94" s="18"/>
      <c r="N94" s="18"/>
      <c r="O94" s="18"/>
    </row>
    <row r="95" spans="2:15">
      <c r="B95" s="96"/>
      <c r="C95" s="97"/>
      <c r="D95" s="97"/>
      <c r="E95" s="97"/>
      <c r="F95" s="97"/>
      <c r="H95" s="97"/>
      <c r="I95" s="97"/>
      <c r="J95" s="97"/>
      <c r="K95" s="97"/>
      <c r="L95" s="97"/>
      <c r="M95" s="18"/>
      <c r="N95" s="18"/>
      <c r="O95" s="18"/>
    </row>
    <row r="96" spans="2:15">
      <c r="B96" s="96"/>
      <c r="C96" s="97"/>
      <c r="D96" s="97"/>
      <c r="E96" s="97"/>
      <c r="F96" s="97"/>
      <c r="H96" s="97"/>
      <c r="I96" s="97"/>
      <c r="J96" s="97"/>
      <c r="K96" s="97"/>
      <c r="L96" s="97"/>
      <c r="M96" s="18"/>
      <c r="N96" s="18"/>
      <c r="O96" s="18"/>
    </row>
    <row r="97" spans="2:15">
      <c r="B97" s="96"/>
      <c r="C97" s="97"/>
      <c r="D97" s="97"/>
      <c r="E97" s="97"/>
      <c r="F97" s="97"/>
      <c r="H97" s="97"/>
      <c r="I97" s="97"/>
      <c r="J97" s="97"/>
      <c r="K97" s="97"/>
      <c r="L97" s="97"/>
      <c r="M97" s="18"/>
      <c r="N97" s="18"/>
      <c r="O97" s="18"/>
    </row>
    <row r="98" spans="2:15">
      <c r="B98" s="96"/>
      <c r="C98" s="97"/>
      <c r="D98" s="97"/>
      <c r="E98" s="97"/>
      <c r="F98" s="97"/>
      <c r="H98" s="97"/>
      <c r="I98" s="97"/>
      <c r="J98" s="97"/>
      <c r="K98" s="97"/>
      <c r="L98" s="97"/>
      <c r="M98" s="18"/>
      <c r="N98" s="18"/>
      <c r="O98" s="18"/>
    </row>
    <row r="99" spans="2:15">
      <c r="B99" s="96"/>
      <c r="C99" s="97"/>
      <c r="D99" s="97"/>
      <c r="E99" s="97"/>
      <c r="F99" s="97"/>
      <c r="H99" s="97"/>
      <c r="I99" s="97"/>
      <c r="J99" s="97"/>
      <c r="K99" s="97"/>
      <c r="L99" s="97"/>
      <c r="M99" s="18"/>
      <c r="N99" s="18"/>
      <c r="O99" s="18"/>
    </row>
    <row r="100" spans="2:15">
      <c r="B100" s="96"/>
      <c r="C100" s="97"/>
      <c r="D100" s="97"/>
      <c r="E100" s="97"/>
      <c r="F100" s="97"/>
      <c r="H100" s="97"/>
      <c r="I100" s="97"/>
      <c r="J100" s="97"/>
      <c r="K100" s="97"/>
      <c r="L100" s="97"/>
      <c r="M100" s="18"/>
      <c r="N100" s="18"/>
      <c r="O100" s="18"/>
    </row>
    <row r="101" spans="2:15">
      <c r="B101" s="96"/>
      <c r="C101" s="97"/>
      <c r="D101" s="97"/>
      <c r="E101" s="97"/>
      <c r="F101" s="97"/>
      <c r="H101" s="97"/>
      <c r="I101" s="97"/>
      <c r="J101" s="97"/>
      <c r="K101" s="97"/>
      <c r="L101" s="97"/>
      <c r="M101" s="18"/>
      <c r="N101" s="18"/>
      <c r="O101" s="18"/>
    </row>
    <row r="102" spans="2:15">
      <c r="B102" s="96"/>
      <c r="C102" s="97"/>
      <c r="D102" s="97"/>
      <c r="E102" s="97"/>
      <c r="F102" s="97"/>
      <c r="H102" s="97"/>
      <c r="I102" s="97"/>
      <c r="J102" s="97"/>
      <c r="K102" s="97"/>
      <c r="L102" s="97"/>
      <c r="M102" s="18"/>
      <c r="N102" s="18"/>
      <c r="O102" s="18"/>
    </row>
    <row r="103" spans="2:15">
      <c r="B103" s="96"/>
      <c r="C103" s="97"/>
      <c r="D103" s="97"/>
      <c r="E103" s="97"/>
      <c r="F103" s="97"/>
      <c r="H103" s="97"/>
      <c r="I103" s="97"/>
      <c r="J103" s="97"/>
      <c r="K103" s="97"/>
      <c r="L103" s="97"/>
      <c r="M103" s="18"/>
      <c r="N103" s="18"/>
      <c r="O103" s="18"/>
    </row>
    <row r="104" spans="2:15">
      <c r="B104" s="96"/>
      <c r="C104" s="97"/>
      <c r="D104" s="97"/>
      <c r="E104" s="97"/>
      <c r="F104" s="97"/>
      <c r="H104" s="97"/>
      <c r="I104" s="97"/>
      <c r="J104" s="97"/>
      <c r="K104" s="97"/>
      <c r="L104" s="97"/>
      <c r="M104" s="18"/>
      <c r="N104" s="18"/>
      <c r="O104" s="18"/>
    </row>
    <row r="105" spans="2:15">
      <c r="B105" s="96"/>
      <c r="C105" s="97"/>
      <c r="D105" s="97"/>
      <c r="E105" s="97"/>
      <c r="F105" s="97"/>
      <c r="H105" s="97"/>
      <c r="I105" s="97"/>
      <c r="J105" s="97"/>
      <c r="K105" s="97"/>
      <c r="L105" s="97"/>
      <c r="M105" s="18"/>
      <c r="N105" s="18"/>
      <c r="O105" s="18"/>
    </row>
    <row r="106" spans="2:15">
      <c r="B106" s="96"/>
      <c r="C106" s="97"/>
      <c r="D106" s="97"/>
      <c r="E106" s="97"/>
      <c r="F106" s="97"/>
      <c r="H106" s="97"/>
      <c r="I106" s="97"/>
      <c r="J106" s="97"/>
      <c r="K106" s="97"/>
      <c r="L106" s="97"/>
      <c r="M106" s="18"/>
      <c r="N106" s="18"/>
      <c r="O106" s="18"/>
    </row>
    <row r="107" spans="2:15">
      <c r="B107" s="96"/>
      <c r="C107" s="97"/>
      <c r="D107" s="97"/>
      <c r="E107" s="97"/>
      <c r="F107" s="97"/>
      <c r="H107" s="97"/>
      <c r="I107" s="97"/>
      <c r="J107" s="97"/>
      <c r="K107" s="97"/>
      <c r="L107" s="97"/>
      <c r="M107" s="18"/>
      <c r="N107" s="18"/>
      <c r="O107" s="18"/>
    </row>
    <row r="108" spans="2:15">
      <c r="B108" s="96"/>
      <c r="C108" s="97"/>
      <c r="D108" s="97"/>
      <c r="E108" s="97"/>
      <c r="F108" s="97"/>
      <c r="H108" s="97"/>
      <c r="I108" s="97"/>
      <c r="J108" s="97"/>
      <c r="K108" s="97"/>
      <c r="L108" s="97"/>
      <c r="M108" s="18"/>
      <c r="N108" s="18"/>
      <c r="O108" s="18"/>
    </row>
    <row r="109" spans="2:15">
      <c r="B109" s="96"/>
      <c r="C109" s="97"/>
      <c r="D109" s="97"/>
      <c r="E109" s="97"/>
      <c r="F109" s="97"/>
      <c r="H109" s="97"/>
      <c r="I109" s="97"/>
      <c r="J109" s="97"/>
      <c r="K109" s="97"/>
      <c r="L109" s="97"/>
      <c r="M109" s="18"/>
      <c r="N109" s="18"/>
      <c r="O109" s="18"/>
    </row>
    <row r="110" spans="2:15">
      <c r="B110" s="96"/>
      <c r="C110" s="97"/>
      <c r="D110" s="97"/>
      <c r="E110" s="97"/>
      <c r="F110" s="97"/>
      <c r="H110" s="97"/>
      <c r="I110" s="97"/>
      <c r="J110" s="97"/>
      <c r="K110" s="97"/>
      <c r="L110" s="97"/>
      <c r="M110" s="18"/>
      <c r="N110" s="18"/>
      <c r="O110" s="18"/>
    </row>
    <row r="111" spans="2:15">
      <c r="B111" s="96"/>
      <c r="C111" s="97"/>
      <c r="D111" s="97"/>
      <c r="E111" s="97"/>
      <c r="F111" s="97"/>
      <c r="H111" s="97"/>
      <c r="I111" s="97"/>
      <c r="J111" s="97"/>
      <c r="K111" s="97"/>
      <c r="L111" s="97"/>
      <c r="M111" s="18"/>
      <c r="N111" s="18"/>
      <c r="O111" s="18"/>
    </row>
    <row r="112" spans="2:15">
      <c r="B112" s="96"/>
      <c r="C112" s="97"/>
      <c r="D112" s="97"/>
      <c r="E112" s="97"/>
      <c r="F112" s="97"/>
      <c r="H112" s="97"/>
      <c r="I112" s="97"/>
      <c r="J112" s="97"/>
      <c r="K112" s="97"/>
      <c r="L112" s="97"/>
      <c r="M112" s="18"/>
      <c r="N112" s="18"/>
      <c r="O112" s="18"/>
    </row>
    <row r="113" spans="2:15">
      <c r="B113" s="96"/>
      <c r="C113" s="97"/>
      <c r="D113" s="97"/>
      <c r="E113" s="97"/>
      <c r="F113" s="97"/>
      <c r="H113" s="97"/>
      <c r="I113" s="97"/>
      <c r="J113" s="97"/>
      <c r="K113" s="97"/>
      <c r="L113" s="97"/>
      <c r="M113" s="18"/>
      <c r="N113" s="18"/>
      <c r="O113" s="18"/>
    </row>
    <row r="114" spans="2:15">
      <c r="B114" s="96"/>
      <c r="C114" s="97"/>
      <c r="D114" s="97"/>
      <c r="E114" s="97"/>
      <c r="F114" s="97"/>
      <c r="H114" s="97"/>
      <c r="I114" s="97"/>
      <c r="J114" s="97"/>
      <c r="K114" s="97"/>
      <c r="L114" s="97"/>
      <c r="M114" s="18"/>
      <c r="N114" s="18"/>
      <c r="O114" s="18"/>
    </row>
    <row r="115" spans="2:15">
      <c r="B115" s="96"/>
      <c r="C115" s="97"/>
      <c r="D115" s="97"/>
      <c r="E115" s="97"/>
      <c r="F115" s="97"/>
      <c r="H115" s="97"/>
      <c r="I115" s="97"/>
      <c r="J115" s="97"/>
      <c r="K115" s="97"/>
      <c r="L115" s="97"/>
      <c r="M115" s="18"/>
      <c r="N115" s="18"/>
      <c r="O115" s="18"/>
    </row>
    <row r="116" spans="2:15">
      <c r="B116" s="96"/>
      <c r="C116" s="97"/>
      <c r="D116" s="97"/>
      <c r="E116" s="97"/>
      <c r="F116" s="97"/>
      <c r="H116" s="97"/>
      <c r="I116" s="97"/>
      <c r="J116" s="97"/>
      <c r="K116" s="97"/>
      <c r="L116" s="97"/>
      <c r="M116" s="18"/>
      <c r="N116" s="18"/>
      <c r="O116" s="18"/>
    </row>
    <row r="117" spans="2:15">
      <c r="B117" s="96"/>
      <c r="C117" s="97"/>
      <c r="D117" s="97"/>
      <c r="E117" s="97"/>
      <c r="F117" s="97"/>
      <c r="H117" s="97"/>
      <c r="I117" s="97"/>
      <c r="J117" s="97"/>
      <c r="K117" s="97"/>
      <c r="L117" s="97"/>
      <c r="M117" s="18"/>
      <c r="N117" s="18"/>
      <c r="O117" s="18"/>
    </row>
    <row r="118" spans="2:15">
      <c r="B118" s="96"/>
      <c r="C118" s="97"/>
      <c r="D118" s="97"/>
      <c r="E118" s="97"/>
      <c r="F118" s="97"/>
      <c r="H118" s="97"/>
      <c r="I118" s="97"/>
      <c r="J118" s="97"/>
      <c r="K118" s="97"/>
      <c r="L118" s="97"/>
      <c r="M118" s="18"/>
      <c r="N118" s="18"/>
      <c r="O118" s="18"/>
    </row>
    <row r="119" spans="2:15">
      <c r="B119" s="96"/>
      <c r="C119" s="97"/>
      <c r="D119" s="97"/>
      <c r="E119" s="97"/>
      <c r="F119" s="97"/>
      <c r="H119" s="97"/>
      <c r="I119" s="97"/>
      <c r="J119" s="97"/>
      <c r="K119" s="97"/>
      <c r="L119" s="97"/>
      <c r="M119" s="18"/>
      <c r="N119" s="18"/>
      <c r="O119" s="18"/>
    </row>
    <row r="120" spans="2:15">
      <c r="B120" s="96"/>
      <c r="C120" s="97"/>
      <c r="D120" s="97"/>
      <c r="E120" s="97"/>
      <c r="F120" s="97"/>
      <c r="H120" s="97"/>
      <c r="I120" s="97"/>
      <c r="J120" s="97"/>
      <c r="K120" s="97"/>
      <c r="L120" s="97"/>
      <c r="M120" s="18"/>
      <c r="N120" s="18"/>
      <c r="O120" s="18"/>
    </row>
    <row r="121" spans="2:15">
      <c r="B121" s="96"/>
      <c r="C121" s="97"/>
      <c r="D121" s="97"/>
      <c r="E121" s="97"/>
      <c r="F121" s="97"/>
      <c r="H121" s="97"/>
      <c r="I121" s="97"/>
      <c r="J121" s="97"/>
      <c r="K121" s="97"/>
      <c r="L121" s="97"/>
      <c r="M121" s="18"/>
      <c r="N121" s="18"/>
      <c r="O121" s="18"/>
    </row>
    <row r="122" spans="2:15">
      <c r="B122" s="96"/>
      <c r="C122" s="97"/>
      <c r="D122" s="97"/>
      <c r="E122" s="97"/>
      <c r="F122" s="97"/>
      <c r="H122" s="97"/>
      <c r="I122" s="97"/>
      <c r="J122" s="97"/>
      <c r="K122" s="97"/>
      <c r="L122" s="97"/>
      <c r="M122" s="18"/>
      <c r="N122" s="18"/>
      <c r="O122" s="18"/>
    </row>
    <row r="123" spans="2:15">
      <c r="B123" s="96"/>
      <c r="C123" s="97"/>
      <c r="D123" s="97"/>
      <c r="E123" s="97"/>
      <c r="F123" s="97"/>
      <c r="H123" s="97"/>
      <c r="I123" s="97"/>
      <c r="J123" s="97"/>
      <c r="K123" s="97"/>
      <c r="L123" s="97"/>
      <c r="M123" s="18"/>
      <c r="N123" s="18"/>
      <c r="O123" s="18"/>
    </row>
    <row r="124" spans="2:15">
      <c r="B124" s="96"/>
      <c r="C124" s="97"/>
      <c r="D124" s="97"/>
      <c r="E124" s="97"/>
      <c r="F124" s="97"/>
      <c r="H124" s="97"/>
      <c r="I124" s="97"/>
      <c r="J124" s="97"/>
      <c r="K124" s="97"/>
      <c r="L124" s="97"/>
      <c r="M124" s="18"/>
      <c r="N124" s="18"/>
      <c r="O124" s="18"/>
    </row>
    <row r="125" spans="2:15">
      <c r="B125" s="96"/>
      <c r="C125" s="97"/>
      <c r="D125" s="97"/>
      <c r="E125" s="97"/>
      <c r="F125" s="97"/>
      <c r="H125" s="97"/>
      <c r="I125" s="97"/>
      <c r="J125" s="97"/>
      <c r="K125" s="97"/>
      <c r="L125" s="97"/>
      <c r="M125" s="18"/>
      <c r="N125" s="18"/>
      <c r="O125" s="18"/>
    </row>
    <row r="126" spans="2:15">
      <c r="B126" s="96"/>
      <c r="C126" s="97"/>
      <c r="D126" s="97"/>
      <c r="E126" s="97"/>
      <c r="F126" s="97"/>
      <c r="H126" s="97"/>
      <c r="I126" s="97"/>
      <c r="J126" s="97"/>
      <c r="K126" s="97"/>
      <c r="L126" s="97"/>
      <c r="M126" s="18"/>
      <c r="N126" s="18"/>
      <c r="O126" s="18"/>
    </row>
    <row r="127" spans="2:15">
      <c r="B127" s="96"/>
      <c r="C127" s="97"/>
      <c r="D127" s="97"/>
      <c r="E127" s="97"/>
      <c r="F127" s="97"/>
      <c r="H127" s="97"/>
      <c r="I127" s="97"/>
      <c r="J127" s="97"/>
      <c r="K127" s="97"/>
      <c r="L127" s="97"/>
      <c r="M127" s="18"/>
      <c r="N127" s="18"/>
      <c r="O127" s="18"/>
    </row>
    <row r="128" spans="2:15">
      <c r="B128" s="96"/>
      <c r="C128" s="97"/>
      <c r="D128" s="97"/>
      <c r="E128" s="97"/>
      <c r="F128" s="97"/>
      <c r="H128" s="97"/>
      <c r="I128" s="97"/>
      <c r="J128" s="97"/>
      <c r="K128" s="97"/>
      <c r="L128" s="97"/>
      <c r="M128" s="18"/>
      <c r="N128" s="18"/>
      <c r="O128" s="18"/>
    </row>
    <row r="129" spans="2:15">
      <c r="B129" s="96"/>
      <c r="C129" s="97"/>
      <c r="D129" s="97"/>
      <c r="E129" s="97"/>
      <c r="F129" s="97"/>
      <c r="H129" s="97"/>
      <c r="I129" s="97"/>
      <c r="J129" s="97"/>
      <c r="K129" s="97"/>
      <c r="L129" s="97"/>
      <c r="M129" s="18"/>
      <c r="N129" s="18"/>
      <c r="O129" s="18"/>
    </row>
    <row r="130" spans="2:15">
      <c r="B130" s="96"/>
      <c r="C130" s="97"/>
      <c r="D130" s="97"/>
      <c r="E130" s="97"/>
      <c r="F130" s="97"/>
      <c r="H130" s="97"/>
      <c r="I130" s="97"/>
      <c r="J130" s="97"/>
      <c r="K130" s="97"/>
      <c r="L130" s="97"/>
      <c r="M130" s="18"/>
      <c r="N130" s="18"/>
      <c r="O130" s="18"/>
    </row>
    <row r="131" spans="2:15">
      <c r="B131" s="96"/>
      <c r="C131" s="97"/>
      <c r="D131" s="97"/>
      <c r="E131" s="97"/>
      <c r="F131" s="97"/>
      <c r="H131" s="97"/>
      <c r="I131" s="97"/>
      <c r="J131" s="97"/>
      <c r="K131" s="97"/>
      <c r="L131" s="97"/>
      <c r="M131" s="18"/>
      <c r="N131" s="18"/>
      <c r="O131" s="18"/>
    </row>
    <row r="132" spans="2:15">
      <c r="B132" s="96"/>
      <c r="C132" s="97"/>
      <c r="D132" s="97"/>
      <c r="E132" s="97"/>
      <c r="F132" s="97"/>
      <c r="H132" s="97"/>
      <c r="I132" s="97"/>
      <c r="J132" s="97"/>
      <c r="K132" s="97"/>
      <c r="L132" s="97"/>
      <c r="M132" s="18"/>
      <c r="N132" s="18"/>
      <c r="O132" s="18"/>
    </row>
    <row r="133" spans="2:15">
      <c r="B133" s="96"/>
      <c r="C133" s="97"/>
      <c r="D133" s="97"/>
      <c r="E133" s="97"/>
      <c r="F133" s="97"/>
      <c r="H133" s="97"/>
      <c r="I133" s="97"/>
      <c r="J133" s="97"/>
      <c r="K133" s="97"/>
      <c r="L133" s="97"/>
      <c r="M133" s="18"/>
      <c r="N133" s="18"/>
      <c r="O133" s="18"/>
    </row>
    <row r="134" spans="2:15">
      <c r="B134" s="96"/>
      <c r="C134" s="97"/>
      <c r="D134" s="97"/>
      <c r="E134" s="97"/>
      <c r="F134" s="97"/>
      <c r="H134" s="97"/>
      <c r="I134" s="97"/>
      <c r="J134" s="97"/>
      <c r="K134" s="97"/>
      <c r="L134" s="97"/>
      <c r="M134" s="18"/>
      <c r="N134" s="18"/>
      <c r="O134" s="18"/>
    </row>
    <row r="135" spans="2:15">
      <c r="B135" s="96"/>
      <c r="C135" s="97"/>
      <c r="D135" s="97"/>
      <c r="E135" s="97"/>
      <c r="F135" s="97"/>
      <c r="H135" s="97"/>
      <c r="I135" s="97"/>
      <c r="J135" s="97"/>
      <c r="K135" s="97"/>
      <c r="L135" s="97"/>
      <c r="M135" s="18"/>
      <c r="N135" s="18"/>
      <c r="O135" s="18"/>
    </row>
    <row r="136" spans="2:15">
      <c r="B136" s="96"/>
      <c r="C136" s="97"/>
      <c r="D136" s="97"/>
      <c r="E136" s="97"/>
      <c r="F136" s="97"/>
      <c r="H136" s="97"/>
      <c r="I136" s="97"/>
      <c r="J136" s="97"/>
      <c r="K136" s="97"/>
      <c r="L136" s="97"/>
      <c r="M136" s="18"/>
      <c r="N136" s="18"/>
      <c r="O136" s="18"/>
    </row>
    <row r="137" spans="2:15">
      <c r="B137" s="96"/>
      <c r="C137" s="97"/>
      <c r="D137" s="97"/>
      <c r="E137" s="97"/>
      <c r="F137" s="97"/>
      <c r="H137" s="97"/>
      <c r="I137" s="97"/>
      <c r="J137" s="97"/>
      <c r="K137" s="97"/>
      <c r="L137" s="97"/>
      <c r="M137" s="18"/>
      <c r="N137" s="18"/>
      <c r="O137" s="18"/>
    </row>
    <row r="138" spans="2:15">
      <c r="B138" s="96"/>
      <c r="C138" s="97"/>
      <c r="D138" s="97"/>
      <c r="E138" s="97"/>
      <c r="F138" s="97"/>
      <c r="H138" s="97"/>
      <c r="I138" s="97"/>
      <c r="J138" s="97"/>
      <c r="K138" s="97"/>
      <c r="L138" s="97"/>
      <c r="M138" s="18"/>
      <c r="N138" s="18"/>
      <c r="O138" s="18"/>
    </row>
    <row r="139" spans="2:15">
      <c r="B139" s="96"/>
      <c r="C139" s="97"/>
      <c r="D139" s="97"/>
      <c r="E139" s="97"/>
      <c r="F139" s="97"/>
      <c r="H139" s="97"/>
      <c r="I139" s="97"/>
      <c r="J139" s="97"/>
      <c r="K139" s="97"/>
      <c r="L139" s="97"/>
      <c r="M139" s="18"/>
      <c r="N139" s="18"/>
      <c r="O139" s="18"/>
    </row>
    <row r="140" spans="2:15">
      <c r="B140" s="96"/>
      <c r="C140" s="97"/>
      <c r="D140" s="97"/>
      <c r="E140" s="97"/>
      <c r="F140" s="97"/>
      <c r="H140" s="97"/>
      <c r="I140" s="97"/>
      <c r="J140" s="97"/>
      <c r="K140" s="97"/>
      <c r="L140" s="97"/>
      <c r="M140" s="18"/>
      <c r="N140" s="18"/>
      <c r="O140" s="18"/>
    </row>
    <row r="141" spans="2:15">
      <c r="B141" s="96"/>
      <c r="C141" s="97"/>
      <c r="D141" s="97"/>
      <c r="E141" s="97"/>
      <c r="F141" s="97"/>
      <c r="H141" s="97"/>
      <c r="I141" s="97"/>
      <c r="J141" s="97"/>
      <c r="K141" s="97"/>
      <c r="L141" s="97"/>
      <c r="M141" s="18"/>
      <c r="N141" s="18"/>
      <c r="O141" s="18"/>
    </row>
    <row r="142" spans="2:15">
      <c r="B142" s="96"/>
      <c r="C142" s="97"/>
      <c r="D142" s="97"/>
      <c r="E142" s="97"/>
      <c r="F142" s="97"/>
      <c r="H142" s="97"/>
      <c r="I142" s="97"/>
      <c r="J142" s="97"/>
      <c r="K142" s="97"/>
      <c r="L142" s="97"/>
      <c r="M142" s="18"/>
      <c r="N142" s="18"/>
      <c r="O142" s="18"/>
    </row>
    <row r="143" spans="2:15">
      <c r="B143" s="96"/>
      <c r="C143" s="97"/>
      <c r="D143" s="97"/>
      <c r="E143" s="97"/>
      <c r="F143" s="97"/>
      <c r="H143" s="97"/>
      <c r="I143" s="97"/>
      <c r="J143" s="97"/>
      <c r="K143" s="97"/>
      <c r="L143" s="97"/>
      <c r="M143" s="18"/>
      <c r="N143" s="18"/>
      <c r="O143" s="18"/>
    </row>
    <row r="144" spans="2:15">
      <c r="B144" s="96"/>
      <c r="C144" s="97"/>
      <c r="D144" s="97"/>
      <c r="E144" s="97"/>
      <c r="F144" s="97"/>
      <c r="H144" s="97"/>
      <c r="I144" s="97"/>
      <c r="J144" s="97"/>
      <c r="K144" s="97"/>
      <c r="L144" s="97"/>
      <c r="M144" s="18"/>
      <c r="N144" s="18"/>
      <c r="O144" s="18"/>
    </row>
    <row r="145" spans="2:15">
      <c r="B145" s="96"/>
      <c r="C145" s="97"/>
      <c r="D145" s="97"/>
      <c r="E145" s="97"/>
      <c r="F145" s="97"/>
      <c r="H145" s="97"/>
      <c r="I145" s="97"/>
      <c r="J145" s="97"/>
      <c r="K145" s="97"/>
      <c r="L145" s="97"/>
      <c r="M145" s="18"/>
      <c r="N145" s="18"/>
      <c r="O145" s="18"/>
    </row>
    <row r="146" spans="2:15">
      <c r="B146" s="96"/>
      <c r="C146" s="97"/>
      <c r="D146" s="97"/>
      <c r="E146" s="97"/>
      <c r="F146" s="97"/>
      <c r="H146" s="97"/>
      <c r="I146" s="97"/>
      <c r="J146" s="97"/>
      <c r="K146" s="97"/>
      <c r="L146" s="97"/>
      <c r="M146" s="18"/>
      <c r="N146" s="18"/>
      <c r="O146" s="18"/>
    </row>
    <row r="147" spans="2:15">
      <c r="B147" s="96"/>
      <c r="C147" s="97"/>
      <c r="D147" s="97"/>
      <c r="E147" s="97"/>
      <c r="F147" s="97"/>
      <c r="H147" s="97"/>
      <c r="I147" s="97"/>
      <c r="J147" s="97"/>
      <c r="K147" s="97"/>
      <c r="L147" s="97"/>
      <c r="M147" s="18"/>
      <c r="N147" s="18"/>
      <c r="O147" s="18"/>
    </row>
    <row r="148" spans="2:15">
      <c r="B148" s="96"/>
      <c r="C148" s="97"/>
      <c r="D148" s="97"/>
      <c r="E148" s="97"/>
      <c r="F148" s="97"/>
      <c r="H148" s="97"/>
      <c r="I148" s="97"/>
      <c r="J148" s="97"/>
      <c r="K148" s="97"/>
      <c r="L148" s="97"/>
      <c r="M148" s="18"/>
      <c r="N148" s="18"/>
      <c r="O148" s="18"/>
    </row>
    <row r="149" spans="2:15">
      <c r="B149" s="96"/>
      <c r="C149" s="97"/>
      <c r="D149" s="97"/>
      <c r="E149" s="97"/>
      <c r="F149" s="97"/>
      <c r="H149" s="97"/>
      <c r="I149" s="97"/>
      <c r="J149" s="97"/>
      <c r="K149" s="97"/>
      <c r="L149" s="97"/>
      <c r="M149" s="18"/>
      <c r="N149" s="18"/>
      <c r="O149" s="18"/>
    </row>
    <row r="150" spans="2:15">
      <c r="B150" s="96"/>
      <c r="C150" s="97"/>
      <c r="D150" s="97"/>
      <c r="E150" s="97"/>
      <c r="F150" s="97"/>
      <c r="H150" s="97"/>
      <c r="I150" s="97"/>
      <c r="J150" s="97"/>
      <c r="K150" s="97"/>
      <c r="L150" s="97"/>
      <c r="M150" s="18"/>
      <c r="N150" s="18"/>
      <c r="O150" s="18"/>
    </row>
    <row r="151" spans="2:15">
      <c r="B151" s="96"/>
      <c r="C151" s="97"/>
      <c r="D151" s="97"/>
      <c r="E151" s="97"/>
      <c r="F151" s="97"/>
      <c r="H151" s="97"/>
      <c r="I151" s="97"/>
      <c r="J151" s="97"/>
      <c r="K151" s="97"/>
      <c r="L151" s="97"/>
      <c r="M151" s="18"/>
      <c r="N151" s="18"/>
      <c r="O151" s="18"/>
    </row>
    <row r="152" spans="2:15">
      <c r="B152" s="96"/>
      <c r="C152" s="97"/>
      <c r="D152" s="97"/>
      <c r="E152" s="97"/>
      <c r="F152" s="97"/>
      <c r="H152" s="97"/>
      <c r="I152" s="97"/>
      <c r="J152" s="97"/>
      <c r="K152" s="97"/>
      <c r="L152" s="97"/>
      <c r="M152" s="18"/>
      <c r="N152" s="18"/>
      <c r="O152" s="18"/>
    </row>
    <row r="153" spans="2:15">
      <c r="B153" s="96"/>
      <c r="C153" s="97"/>
      <c r="D153" s="97"/>
      <c r="E153" s="97"/>
      <c r="F153" s="97"/>
      <c r="H153" s="97"/>
      <c r="I153" s="97"/>
      <c r="J153" s="97"/>
      <c r="K153" s="97"/>
      <c r="L153" s="97"/>
      <c r="M153" s="18"/>
      <c r="N153" s="18"/>
      <c r="O153" s="18"/>
    </row>
    <row r="154" spans="2:15">
      <c r="B154" s="96"/>
      <c r="C154" s="97"/>
      <c r="D154" s="97"/>
      <c r="E154" s="97"/>
      <c r="F154" s="97"/>
      <c r="H154" s="97"/>
      <c r="I154" s="97"/>
      <c r="J154" s="97"/>
      <c r="K154" s="97"/>
      <c r="L154" s="97"/>
      <c r="M154" s="18"/>
      <c r="N154" s="18"/>
      <c r="O154" s="18"/>
    </row>
    <row r="155" spans="2:15">
      <c r="B155" s="96"/>
      <c r="C155" s="97"/>
      <c r="D155" s="97"/>
      <c r="E155" s="97"/>
      <c r="F155" s="97"/>
      <c r="H155" s="97"/>
      <c r="I155" s="97"/>
      <c r="J155" s="97"/>
      <c r="K155" s="97"/>
      <c r="L155" s="97"/>
      <c r="M155" s="18"/>
      <c r="N155" s="18"/>
      <c r="O155" s="18"/>
    </row>
    <row r="156" spans="2:15">
      <c r="B156" s="96"/>
      <c r="C156" s="97"/>
      <c r="D156" s="97"/>
      <c r="E156" s="97"/>
      <c r="F156" s="97"/>
      <c r="H156" s="97"/>
      <c r="I156" s="97"/>
      <c r="J156" s="97"/>
      <c r="K156" s="97"/>
      <c r="L156" s="97"/>
      <c r="M156" s="18"/>
      <c r="N156" s="18"/>
      <c r="O156" s="18"/>
    </row>
    <row r="157" spans="2:15">
      <c r="B157" s="96"/>
      <c r="C157" s="97"/>
      <c r="D157" s="97"/>
      <c r="E157" s="97"/>
      <c r="F157" s="97"/>
      <c r="H157" s="97"/>
      <c r="I157" s="97"/>
      <c r="J157" s="97"/>
      <c r="K157" s="97"/>
      <c r="L157" s="97"/>
      <c r="M157" s="18"/>
      <c r="N157" s="18"/>
      <c r="O157" s="18"/>
    </row>
    <row r="158" spans="2:15">
      <c r="B158" s="96"/>
      <c r="C158" s="97"/>
      <c r="D158" s="97"/>
      <c r="E158" s="97"/>
      <c r="F158" s="97"/>
      <c r="H158" s="97"/>
      <c r="I158" s="97"/>
      <c r="J158" s="97"/>
      <c r="K158" s="97"/>
      <c r="L158" s="97"/>
      <c r="M158" s="18"/>
      <c r="N158" s="18"/>
      <c r="O158" s="18"/>
    </row>
    <row r="159" spans="2:15">
      <c r="B159" s="96"/>
      <c r="C159" s="97"/>
      <c r="D159" s="97"/>
      <c r="E159" s="97"/>
      <c r="F159" s="97"/>
      <c r="H159" s="97"/>
      <c r="I159" s="97"/>
      <c r="J159" s="97"/>
      <c r="K159" s="97"/>
      <c r="L159" s="97"/>
      <c r="M159" s="18"/>
      <c r="N159" s="18"/>
      <c r="O159" s="18"/>
    </row>
    <row r="160" spans="2:15">
      <c r="B160" s="96"/>
      <c r="C160" s="97"/>
      <c r="D160" s="97"/>
      <c r="E160" s="97"/>
      <c r="F160" s="97"/>
      <c r="H160" s="97"/>
      <c r="I160" s="97"/>
      <c r="J160" s="97"/>
      <c r="K160" s="97"/>
      <c r="L160" s="97"/>
      <c r="M160" s="18"/>
      <c r="N160" s="18"/>
      <c r="O160" s="18"/>
    </row>
    <row r="161" spans="2:15">
      <c r="B161" s="96"/>
      <c r="C161" s="97"/>
      <c r="D161" s="97"/>
      <c r="E161" s="97"/>
      <c r="F161" s="97"/>
      <c r="H161" s="97"/>
      <c r="I161" s="97"/>
      <c r="J161" s="97"/>
      <c r="K161" s="97"/>
      <c r="L161" s="97"/>
      <c r="M161" s="18"/>
      <c r="N161" s="18"/>
      <c r="O161" s="18"/>
    </row>
    <row r="162" spans="2:15">
      <c r="B162" s="96"/>
      <c r="C162" s="97"/>
      <c r="D162" s="97"/>
      <c r="E162" s="97"/>
      <c r="F162" s="97"/>
      <c r="H162" s="97"/>
      <c r="I162" s="97"/>
      <c r="J162" s="97"/>
      <c r="K162" s="97"/>
      <c r="L162" s="97"/>
      <c r="M162" s="18"/>
      <c r="N162" s="18"/>
      <c r="O162" s="18"/>
    </row>
    <row r="163" spans="2:15">
      <c r="B163" s="96"/>
      <c r="C163" s="97"/>
      <c r="D163" s="97"/>
      <c r="E163" s="97"/>
      <c r="F163" s="97"/>
      <c r="H163" s="97"/>
      <c r="I163" s="97"/>
      <c r="J163" s="97"/>
      <c r="K163" s="97"/>
      <c r="L163" s="97"/>
      <c r="M163" s="18"/>
      <c r="N163" s="18"/>
      <c r="O163" s="18"/>
    </row>
    <row r="164" spans="2:15">
      <c r="B164" s="96"/>
      <c r="C164" s="97"/>
      <c r="D164" s="97"/>
      <c r="E164" s="97"/>
      <c r="F164" s="97"/>
      <c r="H164" s="97"/>
      <c r="I164" s="97"/>
      <c r="J164" s="97"/>
      <c r="K164" s="97"/>
      <c r="L164" s="97"/>
      <c r="M164" s="18"/>
      <c r="N164" s="18"/>
      <c r="O164" s="18"/>
    </row>
    <row r="165" spans="2:15">
      <c r="B165" s="96"/>
      <c r="C165" s="97"/>
      <c r="D165" s="97"/>
      <c r="E165" s="97"/>
      <c r="F165" s="97"/>
      <c r="H165" s="97"/>
      <c r="I165" s="97"/>
      <c r="J165" s="97"/>
      <c r="K165" s="97"/>
      <c r="L165" s="97"/>
      <c r="M165" s="18"/>
      <c r="N165" s="18"/>
      <c r="O165" s="18"/>
    </row>
    <row r="166" spans="2:15">
      <c r="B166" s="96"/>
      <c r="C166" s="97"/>
      <c r="D166" s="97"/>
      <c r="E166" s="97"/>
      <c r="F166" s="97"/>
      <c r="H166" s="97"/>
      <c r="I166" s="97"/>
      <c r="J166" s="97"/>
      <c r="K166" s="97"/>
      <c r="L166" s="97"/>
      <c r="M166" s="18"/>
      <c r="N166" s="18"/>
      <c r="O166" s="18"/>
    </row>
    <row r="167" spans="2:15">
      <c r="B167" s="96"/>
      <c r="C167" s="97"/>
      <c r="D167" s="97"/>
      <c r="E167" s="97"/>
      <c r="F167" s="97"/>
      <c r="H167" s="97"/>
      <c r="I167" s="97"/>
      <c r="J167" s="97"/>
      <c r="K167" s="97"/>
      <c r="L167" s="97"/>
      <c r="M167" s="18"/>
      <c r="N167" s="18"/>
      <c r="O167" s="18"/>
    </row>
    <row r="168" spans="2:15">
      <c r="B168" s="96"/>
      <c r="C168" s="97"/>
      <c r="D168" s="97"/>
      <c r="E168" s="97"/>
      <c r="F168" s="97"/>
      <c r="H168" s="97"/>
      <c r="I168" s="97"/>
      <c r="J168" s="97"/>
      <c r="K168" s="97"/>
      <c r="L168" s="97"/>
      <c r="M168" s="18"/>
      <c r="N168" s="18"/>
      <c r="O168" s="18"/>
    </row>
    <row r="169" spans="2:15">
      <c r="B169" s="96"/>
      <c r="C169" s="97"/>
      <c r="D169" s="97"/>
      <c r="E169" s="97"/>
      <c r="F169" s="97"/>
      <c r="H169" s="97"/>
      <c r="I169" s="97"/>
      <c r="J169" s="97"/>
      <c r="K169" s="97"/>
      <c r="L169" s="97"/>
      <c r="M169" s="18"/>
      <c r="N169" s="18"/>
      <c r="O169" s="18"/>
    </row>
    <row r="170" spans="2:15">
      <c r="B170" s="96"/>
      <c r="C170" s="97"/>
      <c r="D170" s="97"/>
      <c r="E170" s="97"/>
      <c r="F170" s="97"/>
      <c r="H170" s="97"/>
      <c r="I170" s="97"/>
      <c r="J170" s="97"/>
      <c r="K170" s="97"/>
      <c r="L170" s="97"/>
      <c r="M170" s="18"/>
      <c r="N170" s="18"/>
      <c r="O170" s="18"/>
    </row>
    <row r="171" spans="2:15">
      <c r="B171" s="96"/>
      <c r="C171" s="97"/>
      <c r="D171" s="97"/>
      <c r="E171" s="97"/>
      <c r="F171" s="97"/>
      <c r="H171" s="97"/>
      <c r="I171" s="97"/>
      <c r="J171" s="97"/>
      <c r="K171" s="97"/>
      <c r="L171" s="97"/>
      <c r="M171" s="18"/>
      <c r="N171" s="18"/>
      <c r="O171" s="18"/>
    </row>
    <row r="172" spans="2:15">
      <c r="B172" s="96"/>
      <c r="C172" s="97"/>
      <c r="D172" s="97"/>
      <c r="E172" s="97"/>
      <c r="F172" s="97"/>
      <c r="H172" s="97"/>
      <c r="I172" s="97"/>
      <c r="J172" s="97"/>
      <c r="K172" s="97"/>
      <c r="L172" s="97"/>
      <c r="M172" s="18"/>
      <c r="N172" s="18"/>
      <c r="O172" s="18"/>
    </row>
    <row r="173" spans="2:15">
      <c r="B173" s="96"/>
      <c r="C173" s="97"/>
      <c r="D173" s="97"/>
      <c r="E173" s="97"/>
      <c r="F173" s="97"/>
      <c r="H173" s="97"/>
      <c r="I173" s="97"/>
      <c r="J173" s="97"/>
      <c r="K173" s="97"/>
      <c r="L173" s="97"/>
      <c r="M173" s="18"/>
      <c r="N173" s="18"/>
      <c r="O173" s="18"/>
    </row>
    <row r="174" spans="2:15">
      <c r="B174" s="96"/>
      <c r="C174" s="97"/>
      <c r="D174" s="97"/>
      <c r="E174" s="97"/>
      <c r="F174" s="97"/>
      <c r="H174" s="97"/>
      <c r="I174" s="97"/>
      <c r="J174" s="97"/>
      <c r="K174" s="97"/>
      <c r="L174" s="97"/>
      <c r="M174" s="18"/>
      <c r="N174" s="18"/>
      <c r="O174" s="18"/>
    </row>
    <row r="175" spans="2:15">
      <c r="B175" s="96"/>
      <c r="C175" s="97"/>
      <c r="D175" s="97"/>
      <c r="E175" s="97"/>
      <c r="F175" s="97"/>
      <c r="H175" s="97"/>
      <c r="I175" s="97"/>
      <c r="J175" s="97"/>
      <c r="K175" s="97"/>
      <c r="L175" s="97"/>
      <c r="M175" s="18"/>
      <c r="N175" s="18"/>
      <c r="O175" s="18"/>
    </row>
    <row r="176" spans="2:15">
      <c r="B176" s="96"/>
      <c r="C176" s="97"/>
      <c r="D176" s="97"/>
      <c r="E176" s="97"/>
      <c r="F176" s="97"/>
      <c r="H176" s="97"/>
      <c r="I176" s="97"/>
      <c r="J176" s="97"/>
      <c r="K176" s="97"/>
      <c r="L176" s="97"/>
      <c r="M176" s="18"/>
      <c r="N176" s="18"/>
      <c r="O176" s="18"/>
    </row>
    <row r="177" spans="2:15">
      <c r="B177" s="96"/>
      <c r="C177" s="97"/>
      <c r="D177" s="97"/>
      <c r="E177" s="97"/>
      <c r="F177" s="97"/>
      <c r="H177" s="97"/>
      <c r="I177" s="97"/>
      <c r="J177" s="97"/>
      <c r="K177" s="97"/>
      <c r="L177" s="97"/>
      <c r="M177" s="18"/>
      <c r="N177" s="18"/>
      <c r="O177" s="18"/>
    </row>
    <row r="178" spans="2:15">
      <c r="B178" s="96"/>
      <c r="C178" s="97"/>
      <c r="D178" s="97"/>
      <c r="E178" s="97"/>
      <c r="F178" s="97"/>
      <c r="H178" s="97"/>
      <c r="I178" s="97"/>
      <c r="J178" s="97"/>
      <c r="K178" s="97"/>
      <c r="L178" s="97"/>
      <c r="M178" s="18"/>
      <c r="N178" s="18"/>
      <c r="O178" s="18"/>
    </row>
    <row r="179" spans="2:15">
      <c r="B179" s="96"/>
      <c r="C179" s="97"/>
      <c r="D179" s="97"/>
      <c r="E179" s="97"/>
      <c r="F179" s="97"/>
      <c r="H179" s="97"/>
      <c r="I179" s="97"/>
      <c r="J179" s="97"/>
      <c r="K179" s="97"/>
      <c r="L179" s="97"/>
      <c r="M179" s="18"/>
      <c r="N179" s="18"/>
      <c r="O179" s="18"/>
    </row>
    <row r="180" spans="2:15">
      <c r="B180" s="96"/>
      <c r="C180" s="97"/>
      <c r="D180" s="97"/>
      <c r="E180" s="97"/>
      <c r="F180" s="97"/>
      <c r="H180" s="97"/>
      <c r="I180" s="97"/>
      <c r="J180" s="97"/>
      <c r="K180" s="97"/>
      <c r="L180" s="97"/>
      <c r="M180" s="18"/>
      <c r="N180" s="18"/>
      <c r="O180" s="18"/>
    </row>
    <row r="181" spans="2:15">
      <c r="B181" s="96"/>
      <c r="C181" s="97"/>
      <c r="D181" s="97"/>
      <c r="E181" s="97"/>
      <c r="F181" s="97"/>
      <c r="H181" s="97"/>
      <c r="I181" s="97"/>
      <c r="J181" s="97"/>
      <c r="K181" s="97"/>
      <c r="L181" s="97"/>
      <c r="M181" s="18"/>
      <c r="N181" s="18"/>
      <c r="O181" s="18"/>
    </row>
    <row r="182" spans="2:15">
      <c r="B182" s="96"/>
      <c r="C182" s="97"/>
      <c r="D182" s="97"/>
      <c r="E182" s="97"/>
      <c r="F182" s="97"/>
      <c r="H182" s="97"/>
      <c r="I182" s="97"/>
      <c r="J182" s="97"/>
      <c r="K182" s="97"/>
      <c r="L182" s="97"/>
      <c r="M182" s="18"/>
      <c r="N182" s="18"/>
      <c r="O182" s="18"/>
    </row>
    <row r="183" spans="2:15">
      <c r="B183" s="96"/>
      <c r="C183" s="97"/>
      <c r="D183" s="97"/>
      <c r="E183" s="97"/>
      <c r="F183" s="97"/>
      <c r="H183" s="97"/>
      <c r="I183" s="97"/>
      <c r="J183" s="97"/>
      <c r="K183" s="97"/>
      <c r="L183" s="97"/>
      <c r="M183" s="18"/>
      <c r="N183" s="18"/>
      <c r="O183" s="18"/>
    </row>
    <row r="184" spans="2:15">
      <c r="B184" s="96"/>
      <c r="C184" s="97"/>
      <c r="D184" s="97"/>
      <c r="E184" s="97"/>
      <c r="F184" s="97"/>
      <c r="H184" s="97"/>
      <c r="I184" s="97"/>
      <c r="J184" s="97"/>
      <c r="K184" s="97"/>
      <c r="L184" s="97"/>
      <c r="M184" s="18"/>
      <c r="N184" s="18"/>
      <c r="O184" s="18"/>
    </row>
    <row r="185" spans="2:15">
      <c r="B185" s="96"/>
      <c r="C185" s="97"/>
      <c r="D185" s="97"/>
      <c r="E185" s="97"/>
      <c r="F185" s="97"/>
      <c r="H185" s="97"/>
      <c r="I185" s="97"/>
      <c r="J185" s="97"/>
      <c r="K185" s="97"/>
      <c r="L185" s="97"/>
      <c r="M185" s="18"/>
      <c r="N185" s="18"/>
      <c r="O185" s="18"/>
    </row>
    <row r="186" spans="2:15">
      <c r="B186" s="96"/>
      <c r="C186" s="97"/>
      <c r="D186" s="97"/>
      <c r="E186" s="97"/>
      <c r="F186" s="97"/>
      <c r="H186" s="97"/>
      <c r="I186" s="97"/>
      <c r="J186" s="97"/>
      <c r="K186" s="97"/>
      <c r="L186" s="97"/>
      <c r="M186" s="18"/>
      <c r="N186" s="18"/>
      <c r="O186" s="18"/>
    </row>
    <row r="187" spans="2:15">
      <c r="B187" s="96"/>
      <c r="C187" s="97"/>
      <c r="D187" s="97"/>
      <c r="E187" s="97"/>
      <c r="F187" s="97"/>
      <c r="H187" s="97"/>
      <c r="I187" s="97"/>
      <c r="J187" s="97"/>
      <c r="K187" s="97"/>
      <c r="L187" s="97"/>
      <c r="M187" s="18"/>
      <c r="N187" s="18"/>
      <c r="O187" s="18"/>
    </row>
    <row r="188" spans="2:15">
      <c r="B188" s="96"/>
      <c r="C188" s="97"/>
      <c r="D188" s="97"/>
      <c r="E188" s="97"/>
      <c r="F188" s="97"/>
      <c r="H188" s="97"/>
      <c r="I188" s="97"/>
      <c r="J188" s="97"/>
      <c r="K188" s="97"/>
      <c r="L188" s="97"/>
      <c r="M188" s="18"/>
      <c r="N188" s="18"/>
      <c r="O188" s="18"/>
    </row>
    <row r="189" spans="2:15">
      <c r="B189" s="96"/>
      <c r="C189" s="97"/>
      <c r="D189" s="97"/>
      <c r="E189" s="97"/>
      <c r="F189" s="97"/>
      <c r="H189" s="97"/>
      <c r="I189" s="97"/>
      <c r="J189" s="97"/>
      <c r="K189" s="97"/>
      <c r="L189" s="97"/>
      <c r="M189" s="18"/>
      <c r="N189" s="18"/>
      <c r="O189" s="18"/>
    </row>
    <row r="190" spans="2:15">
      <c r="B190" s="96"/>
      <c r="C190" s="97"/>
      <c r="D190" s="97"/>
      <c r="E190" s="97"/>
      <c r="F190" s="97"/>
      <c r="H190" s="97"/>
      <c r="I190" s="97"/>
      <c r="J190" s="97"/>
      <c r="K190" s="97"/>
      <c r="L190" s="97"/>
      <c r="M190" s="18"/>
      <c r="N190" s="18"/>
      <c r="O190" s="18"/>
    </row>
    <row r="191" spans="2:15">
      <c r="B191" s="96"/>
      <c r="C191" s="97"/>
      <c r="D191" s="97"/>
      <c r="E191" s="97"/>
      <c r="F191" s="97"/>
      <c r="H191" s="97"/>
      <c r="I191" s="97"/>
      <c r="J191" s="97"/>
      <c r="K191" s="97"/>
      <c r="L191" s="97"/>
      <c r="M191" s="18"/>
      <c r="N191" s="18"/>
      <c r="O191" s="18"/>
    </row>
    <row r="192" spans="2:15">
      <c r="B192" s="96"/>
      <c r="C192" s="97"/>
      <c r="D192" s="97"/>
      <c r="E192" s="97"/>
      <c r="F192" s="97"/>
      <c r="H192" s="97"/>
      <c r="I192" s="97"/>
      <c r="J192" s="97"/>
      <c r="K192" s="97"/>
      <c r="L192" s="97"/>
      <c r="M192" s="18"/>
      <c r="N192" s="18"/>
      <c r="O192" s="18"/>
    </row>
    <row r="193" spans="2:15">
      <c r="B193" s="96"/>
      <c r="C193" s="97"/>
      <c r="D193" s="97"/>
      <c r="E193" s="97"/>
      <c r="F193" s="97"/>
      <c r="H193" s="97"/>
      <c r="I193" s="97"/>
      <c r="J193" s="97"/>
      <c r="K193" s="97"/>
      <c r="L193" s="97"/>
      <c r="M193" s="18"/>
      <c r="N193" s="18"/>
      <c r="O193" s="18"/>
    </row>
    <row r="194" spans="2:15">
      <c r="B194" s="96"/>
      <c r="C194" s="97"/>
      <c r="D194" s="97"/>
      <c r="E194" s="97"/>
      <c r="F194" s="97"/>
      <c r="H194" s="97"/>
      <c r="I194" s="97"/>
      <c r="J194" s="97"/>
      <c r="K194" s="97"/>
      <c r="L194" s="97"/>
      <c r="M194" s="18"/>
      <c r="N194" s="18"/>
      <c r="O194" s="18"/>
    </row>
    <row r="195" spans="2:15">
      <c r="B195" s="96"/>
      <c r="C195" s="97"/>
      <c r="D195" s="97"/>
      <c r="E195" s="97"/>
      <c r="F195" s="97"/>
      <c r="H195" s="97"/>
      <c r="I195" s="97"/>
      <c r="J195" s="97"/>
      <c r="K195" s="97"/>
      <c r="L195" s="97"/>
      <c r="M195" s="18"/>
      <c r="N195" s="18"/>
      <c r="O195" s="18"/>
    </row>
    <row r="196" spans="2:15">
      <c r="B196" s="96"/>
      <c r="C196" s="97"/>
      <c r="D196" s="97"/>
      <c r="E196" s="97"/>
      <c r="F196" s="97"/>
      <c r="H196" s="97"/>
      <c r="I196" s="97"/>
      <c r="J196" s="97"/>
      <c r="K196" s="97"/>
      <c r="L196" s="97"/>
      <c r="M196" s="18"/>
      <c r="N196" s="18"/>
      <c r="O196" s="18"/>
    </row>
    <row r="197" spans="2:15">
      <c r="B197" s="96"/>
      <c r="C197" s="97"/>
      <c r="D197" s="97"/>
      <c r="E197" s="97"/>
      <c r="F197" s="97"/>
      <c r="H197" s="97"/>
      <c r="I197" s="97"/>
      <c r="J197" s="97"/>
      <c r="K197" s="97"/>
      <c r="L197" s="97"/>
      <c r="M197" s="18"/>
      <c r="N197" s="18"/>
      <c r="O197" s="18"/>
    </row>
    <row r="198" spans="2:15">
      <c r="B198" s="96"/>
      <c r="C198" s="97"/>
      <c r="D198" s="97"/>
      <c r="E198" s="97"/>
      <c r="F198" s="97"/>
      <c r="H198" s="97"/>
      <c r="I198" s="97"/>
      <c r="J198" s="97"/>
      <c r="K198" s="97"/>
      <c r="L198" s="97"/>
      <c r="M198" s="18"/>
      <c r="N198" s="18"/>
      <c r="O198" s="18"/>
    </row>
    <row r="199" spans="2:15">
      <c r="B199" s="96"/>
      <c r="C199" s="97"/>
      <c r="D199" s="97"/>
      <c r="E199" s="97"/>
      <c r="F199" s="97"/>
      <c r="H199" s="97"/>
      <c r="I199" s="97"/>
      <c r="J199" s="97"/>
      <c r="K199" s="97"/>
      <c r="L199" s="97"/>
      <c r="M199" s="18"/>
      <c r="N199" s="18"/>
      <c r="O199" s="18"/>
    </row>
    <row r="200" spans="2:15">
      <c r="B200" s="96"/>
      <c r="C200" s="97"/>
      <c r="D200" s="97"/>
      <c r="E200" s="97"/>
      <c r="F200" s="97"/>
      <c r="H200" s="97"/>
      <c r="I200" s="97"/>
      <c r="J200" s="97"/>
      <c r="K200" s="97"/>
      <c r="L200" s="97"/>
      <c r="M200" s="18"/>
      <c r="N200" s="18"/>
      <c r="O200" s="18"/>
    </row>
    <row r="201" spans="2:15">
      <c r="B201" s="96"/>
      <c r="C201" s="97"/>
      <c r="D201" s="97"/>
      <c r="E201" s="97"/>
      <c r="F201" s="97"/>
      <c r="H201" s="97"/>
      <c r="I201" s="97"/>
      <c r="J201" s="97"/>
      <c r="K201" s="97"/>
      <c r="L201" s="97"/>
      <c r="M201" s="18"/>
      <c r="N201" s="18"/>
      <c r="O201" s="18"/>
    </row>
    <row r="202" spans="2:15">
      <c r="B202" s="96"/>
      <c r="C202" s="97"/>
      <c r="D202" s="97"/>
      <c r="E202" s="97"/>
      <c r="F202" s="97"/>
      <c r="H202" s="97"/>
      <c r="I202" s="97"/>
      <c r="J202" s="97"/>
      <c r="K202" s="97"/>
      <c r="L202" s="97"/>
      <c r="M202" s="18"/>
      <c r="N202" s="18"/>
      <c r="O202" s="18"/>
    </row>
    <row r="203" spans="2:15">
      <c r="B203" s="96"/>
      <c r="C203" s="97"/>
      <c r="D203" s="97"/>
      <c r="E203" s="97"/>
      <c r="F203" s="97"/>
      <c r="H203" s="97"/>
      <c r="I203" s="97"/>
      <c r="J203" s="97"/>
      <c r="K203" s="97"/>
      <c r="L203" s="97"/>
      <c r="M203" s="18"/>
      <c r="N203" s="18"/>
      <c r="O203" s="18"/>
    </row>
    <row r="204" spans="2:15">
      <c r="B204" s="96"/>
      <c r="C204" s="97"/>
      <c r="D204" s="97"/>
      <c r="E204" s="97"/>
      <c r="F204" s="97"/>
      <c r="H204" s="97"/>
      <c r="I204" s="97"/>
      <c r="J204" s="97"/>
      <c r="K204" s="97"/>
      <c r="L204" s="97"/>
      <c r="M204" s="18"/>
      <c r="N204" s="18"/>
      <c r="O204" s="18"/>
    </row>
    <row r="205" spans="2:15">
      <c r="B205" s="96"/>
      <c r="C205" s="97"/>
      <c r="D205" s="97"/>
      <c r="E205" s="97"/>
      <c r="F205" s="97"/>
      <c r="H205" s="97"/>
      <c r="I205" s="97"/>
      <c r="J205" s="97"/>
      <c r="K205" s="97"/>
      <c r="L205" s="97"/>
      <c r="M205" s="18"/>
      <c r="N205" s="18"/>
      <c r="O205" s="18"/>
    </row>
    <row r="206" spans="2:15">
      <c r="B206" s="96"/>
      <c r="C206" s="97"/>
      <c r="D206" s="97"/>
      <c r="E206" s="97"/>
      <c r="F206" s="97"/>
      <c r="H206" s="97"/>
      <c r="I206" s="97"/>
      <c r="J206" s="97"/>
      <c r="K206" s="97"/>
      <c r="L206" s="97"/>
      <c r="M206" s="18"/>
      <c r="N206" s="18"/>
      <c r="O206" s="18"/>
    </row>
    <row r="207" spans="2:15">
      <c r="B207" s="96"/>
      <c r="C207" s="97"/>
      <c r="D207" s="97"/>
      <c r="E207" s="97"/>
      <c r="F207" s="97"/>
      <c r="H207" s="97"/>
      <c r="I207" s="97"/>
      <c r="J207" s="97"/>
      <c r="K207" s="97"/>
      <c r="L207" s="97"/>
      <c r="M207" s="18"/>
      <c r="N207" s="18"/>
      <c r="O207" s="18"/>
    </row>
    <row r="208" spans="2:15">
      <c r="B208" s="96"/>
      <c r="C208" s="97"/>
      <c r="D208" s="97"/>
      <c r="E208" s="97"/>
      <c r="F208" s="97"/>
      <c r="H208" s="97"/>
      <c r="I208" s="97"/>
      <c r="J208" s="97"/>
      <c r="K208" s="97"/>
      <c r="L208" s="97"/>
      <c r="M208" s="18"/>
      <c r="N208" s="18"/>
      <c r="O208" s="18"/>
    </row>
    <row r="209" spans="2:15">
      <c r="B209" s="96"/>
      <c r="C209" s="97"/>
      <c r="D209" s="97"/>
      <c r="E209" s="97"/>
      <c r="F209" s="97"/>
      <c r="H209" s="97"/>
      <c r="I209" s="97"/>
      <c r="J209" s="97"/>
      <c r="K209" s="97"/>
      <c r="L209" s="97"/>
      <c r="M209" s="18"/>
      <c r="N209" s="18"/>
      <c r="O209" s="18"/>
    </row>
    <row r="210" spans="2:15">
      <c r="B210" s="96"/>
      <c r="C210" s="97"/>
      <c r="D210" s="97"/>
      <c r="E210" s="97"/>
      <c r="F210" s="97"/>
      <c r="H210" s="97"/>
      <c r="I210" s="97"/>
      <c r="J210" s="97"/>
      <c r="K210" s="97"/>
      <c r="L210" s="97"/>
      <c r="M210" s="18"/>
      <c r="N210" s="18"/>
      <c r="O210" s="18"/>
    </row>
    <row r="211" spans="2:15">
      <c r="B211" s="96"/>
      <c r="C211" s="97"/>
      <c r="D211" s="97"/>
      <c r="E211" s="97"/>
      <c r="F211" s="97"/>
      <c r="H211" s="97"/>
      <c r="I211" s="97"/>
      <c r="J211" s="97"/>
      <c r="K211" s="97"/>
      <c r="L211" s="97"/>
      <c r="M211" s="18"/>
      <c r="N211" s="18"/>
      <c r="O211" s="18"/>
    </row>
    <row r="212" spans="2:15">
      <c r="B212" s="96"/>
      <c r="C212" s="97"/>
      <c r="D212" s="97"/>
      <c r="E212" s="97"/>
      <c r="F212" s="97"/>
      <c r="H212" s="97"/>
      <c r="I212" s="97"/>
      <c r="J212" s="97"/>
      <c r="K212" s="97"/>
      <c r="L212" s="97"/>
      <c r="M212" s="18"/>
      <c r="N212" s="18"/>
      <c r="O212" s="18"/>
    </row>
    <row r="213" spans="2:15">
      <c r="B213" s="96"/>
      <c r="C213" s="97"/>
      <c r="D213" s="97"/>
      <c r="E213" s="97"/>
      <c r="F213" s="97"/>
      <c r="H213" s="97"/>
      <c r="I213" s="97"/>
      <c r="J213" s="97"/>
      <c r="K213" s="97"/>
      <c r="L213" s="97"/>
      <c r="M213" s="18"/>
      <c r="N213" s="18"/>
      <c r="O213" s="18"/>
    </row>
    <row r="214" spans="2:15">
      <c r="B214" s="96"/>
      <c r="C214" s="97"/>
      <c r="D214" s="97"/>
      <c r="E214" s="97"/>
      <c r="F214" s="97"/>
      <c r="H214" s="97"/>
      <c r="I214" s="97"/>
      <c r="J214" s="97"/>
      <c r="K214" s="97"/>
      <c r="L214" s="97"/>
      <c r="M214" s="18"/>
      <c r="N214" s="18"/>
      <c r="O214" s="18"/>
    </row>
    <row r="215" spans="2:15">
      <c r="B215" s="96"/>
      <c r="C215" s="97"/>
      <c r="D215" s="97"/>
      <c r="E215" s="97"/>
      <c r="F215" s="97"/>
      <c r="H215" s="97"/>
      <c r="I215" s="97"/>
      <c r="J215" s="97"/>
      <c r="K215" s="97"/>
      <c r="L215" s="97"/>
      <c r="M215" s="18"/>
      <c r="N215" s="18"/>
      <c r="O215" s="18"/>
    </row>
    <row r="216" spans="2:15">
      <c r="B216" s="96"/>
      <c r="C216" s="97"/>
      <c r="D216" s="97"/>
      <c r="E216" s="97"/>
      <c r="F216" s="97"/>
      <c r="H216" s="97"/>
      <c r="I216" s="97"/>
      <c r="J216" s="97"/>
      <c r="K216" s="97"/>
      <c r="L216" s="97"/>
      <c r="M216" s="18"/>
      <c r="N216" s="18"/>
      <c r="O216" s="18"/>
    </row>
    <row r="217" spans="2:15">
      <c r="B217" s="96"/>
      <c r="C217" s="97"/>
      <c r="D217" s="97"/>
      <c r="E217" s="97"/>
      <c r="F217" s="97"/>
      <c r="H217" s="97"/>
      <c r="I217" s="97"/>
      <c r="J217" s="97"/>
      <c r="K217" s="97"/>
      <c r="L217" s="97"/>
      <c r="M217" s="18"/>
      <c r="N217" s="18"/>
      <c r="O217" s="18"/>
    </row>
    <row r="218" spans="2:15">
      <c r="B218" s="96"/>
      <c r="C218" s="97"/>
      <c r="D218" s="97"/>
      <c r="E218" s="97"/>
      <c r="F218" s="97"/>
      <c r="H218" s="97"/>
      <c r="I218" s="97"/>
      <c r="J218" s="97"/>
      <c r="K218" s="97"/>
      <c r="L218" s="97"/>
      <c r="M218" s="18"/>
      <c r="N218" s="18"/>
      <c r="O218" s="18"/>
    </row>
    <row r="219" spans="2:15">
      <c r="B219" s="96"/>
      <c r="C219" s="97"/>
      <c r="D219" s="97"/>
      <c r="E219" s="97"/>
      <c r="F219" s="97"/>
      <c r="H219" s="97"/>
      <c r="I219" s="97"/>
      <c r="J219" s="97"/>
      <c r="K219" s="97"/>
      <c r="L219" s="97"/>
      <c r="M219" s="18"/>
      <c r="N219" s="18"/>
      <c r="O219" s="18"/>
    </row>
    <row r="220" spans="2:15">
      <c r="B220" s="96"/>
      <c r="C220" s="97"/>
      <c r="D220" s="97"/>
      <c r="E220" s="97"/>
      <c r="F220" s="97"/>
      <c r="H220" s="97"/>
      <c r="I220" s="97"/>
      <c r="J220" s="97"/>
      <c r="K220" s="97"/>
      <c r="L220" s="97"/>
      <c r="M220" s="18"/>
      <c r="N220" s="18"/>
      <c r="O220" s="18"/>
    </row>
    <row r="221" spans="2:15">
      <c r="B221" s="96"/>
      <c r="C221" s="97"/>
      <c r="D221" s="97"/>
      <c r="E221" s="97"/>
      <c r="F221" s="97"/>
      <c r="H221" s="97"/>
      <c r="I221" s="97"/>
      <c r="J221" s="97"/>
      <c r="K221" s="97"/>
      <c r="L221" s="97"/>
      <c r="M221" s="18"/>
      <c r="N221" s="18"/>
      <c r="O221" s="18"/>
    </row>
    <row r="222" spans="2:15">
      <c r="B222" s="96"/>
      <c r="C222" s="97"/>
      <c r="D222" s="97"/>
      <c r="E222" s="97"/>
      <c r="F222" s="97"/>
      <c r="H222" s="97"/>
      <c r="I222" s="97"/>
      <c r="J222" s="97"/>
      <c r="K222" s="97"/>
      <c r="L222" s="97"/>
      <c r="M222" s="18"/>
      <c r="N222" s="18"/>
      <c r="O222" s="18"/>
    </row>
    <row r="223" spans="2:15">
      <c r="B223" s="96"/>
      <c r="C223" s="97"/>
      <c r="D223" s="97"/>
      <c r="E223" s="97"/>
      <c r="F223" s="97"/>
      <c r="H223" s="97"/>
      <c r="I223" s="97"/>
      <c r="J223" s="97"/>
      <c r="K223" s="97"/>
      <c r="L223" s="97"/>
      <c r="M223" s="18"/>
      <c r="N223" s="18"/>
      <c r="O223" s="18"/>
    </row>
    <row r="224" spans="2:15">
      <c r="B224" s="96"/>
      <c r="C224" s="97"/>
      <c r="D224" s="97"/>
      <c r="E224" s="97"/>
      <c r="F224" s="97"/>
      <c r="H224" s="97"/>
      <c r="I224" s="97"/>
      <c r="J224" s="97"/>
      <c r="K224" s="97"/>
      <c r="L224" s="97"/>
      <c r="M224" s="18"/>
      <c r="N224" s="18"/>
      <c r="O224" s="18"/>
    </row>
    <row r="225" spans="2:15">
      <c r="B225" s="96"/>
      <c r="C225" s="97"/>
      <c r="D225" s="97"/>
      <c r="E225" s="97"/>
      <c r="F225" s="97"/>
      <c r="H225" s="97"/>
      <c r="I225" s="97"/>
      <c r="J225" s="97"/>
      <c r="K225" s="97"/>
      <c r="L225" s="97"/>
      <c r="M225" s="18"/>
      <c r="N225" s="18"/>
      <c r="O225" s="18"/>
    </row>
    <row r="226" spans="2:15">
      <c r="B226" s="96"/>
      <c r="C226" s="97"/>
      <c r="D226" s="97"/>
      <c r="E226" s="97"/>
      <c r="F226" s="97"/>
      <c r="H226" s="97"/>
      <c r="I226" s="97"/>
      <c r="J226" s="97"/>
      <c r="K226" s="97"/>
      <c r="L226" s="97"/>
      <c r="M226" s="18"/>
      <c r="N226" s="18"/>
      <c r="O226" s="18"/>
    </row>
    <row r="227" spans="2:15">
      <c r="B227" s="96"/>
      <c r="C227" s="97"/>
      <c r="D227" s="97"/>
      <c r="E227" s="97"/>
      <c r="F227" s="97"/>
      <c r="H227" s="97"/>
      <c r="I227" s="97"/>
      <c r="J227" s="97"/>
      <c r="K227" s="97"/>
      <c r="L227" s="97"/>
      <c r="M227" s="18"/>
      <c r="N227" s="18"/>
      <c r="O227" s="18"/>
    </row>
    <row r="228" spans="2:15">
      <c r="B228" s="96"/>
      <c r="C228" s="97"/>
      <c r="D228" s="97"/>
      <c r="E228" s="97"/>
      <c r="F228" s="97"/>
      <c r="H228" s="97"/>
      <c r="I228" s="97"/>
      <c r="J228" s="97"/>
      <c r="K228" s="97"/>
      <c r="L228" s="97"/>
      <c r="M228" s="18"/>
      <c r="N228" s="18"/>
      <c r="O228" s="18"/>
    </row>
    <row r="229" spans="2:15">
      <c r="B229" s="96"/>
      <c r="C229" s="97"/>
      <c r="D229" s="97"/>
      <c r="E229" s="97"/>
      <c r="F229" s="97"/>
      <c r="H229" s="97"/>
      <c r="I229" s="97"/>
      <c r="J229" s="97"/>
      <c r="K229" s="97"/>
      <c r="L229" s="97"/>
      <c r="M229" s="18"/>
      <c r="N229" s="18"/>
      <c r="O229" s="18"/>
    </row>
    <row r="230" spans="2:15">
      <c r="B230" s="96"/>
      <c r="C230" s="97"/>
      <c r="D230" s="97"/>
      <c r="E230" s="97"/>
      <c r="F230" s="97"/>
      <c r="H230" s="97"/>
      <c r="I230" s="97"/>
      <c r="J230" s="97"/>
      <c r="K230" s="97"/>
      <c r="L230" s="97"/>
      <c r="M230" s="18"/>
      <c r="N230" s="18"/>
      <c r="O230" s="18"/>
    </row>
    <row r="231" spans="2:15">
      <c r="B231" s="96"/>
      <c r="C231" s="97"/>
      <c r="D231" s="97"/>
      <c r="E231" s="97"/>
      <c r="F231" s="97"/>
      <c r="H231" s="97"/>
      <c r="I231" s="97"/>
      <c r="J231" s="97"/>
      <c r="K231" s="97"/>
      <c r="L231" s="97"/>
      <c r="M231" s="18"/>
      <c r="N231" s="18"/>
      <c r="O231" s="18"/>
    </row>
    <row r="232" spans="2:15">
      <c r="B232" s="96"/>
      <c r="C232" s="97"/>
      <c r="D232" s="97"/>
      <c r="E232" s="97"/>
      <c r="F232" s="97"/>
      <c r="H232" s="97"/>
      <c r="I232" s="97"/>
      <c r="J232" s="97"/>
      <c r="K232" s="97"/>
      <c r="L232" s="97"/>
      <c r="M232" s="18"/>
      <c r="N232" s="18"/>
      <c r="O232" s="18"/>
    </row>
    <row r="233" spans="2:15">
      <c r="B233" s="96"/>
      <c r="C233" s="97"/>
      <c r="D233" s="97"/>
      <c r="E233" s="97"/>
      <c r="F233" s="97"/>
      <c r="H233" s="97"/>
      <c r="I233" s="97"/>
      <c r="J233" s="97"/>
      <c r="K233" s="97"/>
      <c r="L233" s="97"/>
      <c r="M233" s="18"/>
      <c r="N233" s="18"/>
      <c r="O233" s="18"/>
    </row>
    <row r="234" spans="2:15">
      <c r="B234" s="96"/>
      <c r="C234" s="97"/>
      <c r="D234" s="97"/>
      <c r="E234" s="97"/>
      <c r="F234" s="97"/>
      <c r="H234" s="97"/>
      <c r="I234" s="97"/>
      <c r="J234" s="97"/>
      <c r="K234" s="97"/>
      <c r="L234" s="97"/>
      <c r="M234" s="18"/>
      <c r="N234" s="18"/>
      <c r="O234" s="18"/>
    </row>
    <row r="235" spans="2:15">
      <c r="B235" s="96"/>
      <c r="C235" s="97"/>
      <c r="D235" s="97"/>
      <c r="E235" s="97"/>
      <c r="F235" s="97"/>
      <c r="H235" s="97"/>
      <c r="I235" s="97"/>
      <c r="J235" s="97"/>
      <c r="K235" s="97"/>
      <c r="L235" s="97"/>
      <c r="M235" s="18"/>
      <c r="N235" s="18"/>
      <c r="O235" s="18"/>
    </row>
    <row r="236" spans="2:15">
      <c r="B236" s="96"/>
      <c r="C236" s="97"/>
      <c r="D236" s="97"/>
      <c r="E236" s="97"/>
      <c r="F236" s="97"/>
      <c r="H236" s="97"/>
      <c r="I236" s="97"/>
      <c r="J236" s="97"/>
      <c r="K236" s="97"/>
      <c r="L236" s="97"/>
      <c r="M236" s="18"/>
      <c r="N236" s="18"/>
      <c r="O236" s="18"/>
    </row>
    <row r="237" spans="2:15">
      <c r="B237" s="96"/>
      <c r="C237" s="97"/>
      <c r="D237" s="97"/>
      <c r="E237" s="97"/>
      <c r="F237" s="97"/>
      <c r="H237" s="97"/>
      <c r="I237" s="97"/>
      <c r="J237" s="97"/>
      <c r="K237" s="97"/>
      <c r="L237" s="97"/>
      <c r="M237" s="18"/>
      <c r="N237" s="18"/>
      <c r="O237" s="18"/>
    </row>
    <row r="238" spans="2:15">
      <c r="B238" s="96"/>
      <c r="C238" s="97"/>
      <c r="D238" s="97"/>
      <c r="E238" s="97"/>
      <c r="F238" s="97"/>
      <c r="H238" s="97"/>
      <c r="I238" s="97"/>
      <c r="J238" s="97"/>
      <c r="K238" s="97"/>
      <c r="L238" s="97"/>
      <c r="M238" s="18"/>
      <c r="N238" s="18"/>
      <c r="O238" s="18"/>
    </row>
    <row r="239" spans="2:15">
      <c r="B239" s="96"/>
      <c r="C239" s="97"/>
      <c r="D239" s="97"/>
      <c r="E239" s="97"/>
      <c r="F239" s="97"/>
      <c r="H239" s="97"/>
      <c r="I239" s="97"/>
      <c r="J239" s="97"/>
      <c r="K239" s="97"/>
      <c r="L239" s="97"/>
      <c r="M239" s="18"/>
      <c r="N239" s="18"/>
      <c r="O239" s="18"/>
    </row>
    <row r="240" spans="2:15">
      <c r="B240" s="96"/>
      <c r="C240" s="97"/>
      <c r="D240" s="97"/>
      <c r="E240" s="97"/>
      <c r="F240" s="97"/>
      <c r="H240" s="97"/>
      <c r="I240" s="97"/>
      <c r="J240" s="97"/>
      <c r="K240" s="97"/>
      <c r="L240" s="97"/>
      <c r="M240" s="18"/>
      <c r="N240" s="18"/>
      <c r="O240" s="18"/>
    </row>
    <row r="241" spans="2:15">
      <c r="B241" s="96"/>
      <c r="C241" s="97"/>
      <c r="D241" s="97"/>
      <c r="E241" s="97"/>
      <c r="F241" s="97"/>
      <c r="H241" s="97"/>
      <c r="I241" s="97"/>
      <c r="J241" s="97"/>
      <c r="K241" s="97"/>
      <c r="L241" s="97"/>
      <c r="M241" s="18"/>
      <c r="N241" s="18"/>
      <c r="O241" s="18"/>
    </row>
    <row r="242" spans="2:15">
      <c r="B242" s="96"/>
      <c r="C242" s="97"/>
      <c r="D242" s="97"/>
      <c r="E242" s="97"/>
      <c r="F242" s="97"/>
      <c r="H242" s="97"/>
      <c r="I242" s="97"/>
      <c r="J242" s="97"/>
      <c r="K242" s="97"/>
      <c r="L242" s="97"/>
      <c r="M242" s="18"/>
      <c r="N242" s="18"/>
      <c r="O242" s="18"/>
    </row>
    <row r="243" spans="2:15">
      <c r="B243" s="96"/>
      <c r="C243" s="97"/>
      <c r="D243" s="97"/>
      <c r="E243" s="97"/>
      <c r="F243" s="97"/>
      <c r="H243" s="97"/>
      <c r="I243" s="97"/>
      <c r="J243" s="97"/>
      <c r="K243" s="97"/>
      <c r="L243" s="97"/>
      <c r="M243" s="18"/>
      <c r="N243" s="18"/>
      <c r="O243" s="18"/>
    </row>
    <row r="244" spans="2:15">
      <c r="B244" s="96"/>
      <c r="C244" s="97"/>
      <c r="D244" s="97"/>
      <c r="E244" s="97"/>
      <c r="F244" s="97"/>
      <c r="H244" s="97"/>
      <c r="I244" s="97"/>
      <c r="J244" s="97"/>
      <c r="K244" s="97"/>
      <c r="L244" s="97"/>
      <c r="M244" s="18"/>
      <c r="N244" s="18"/>
      <c r="O244" s="18"/>
    </row>
    <row r="245" spans="2:15">
      <c r="B245" s="96"/>
      <c r="C245" s="97"/>
      <c r="D245" s="97"/>
      <c r="E245" s="97"/>
      <c r="F245" s="97"/>
      <c r="H245" s="97"/>
      <c r="I245" s="97"/>
      <c r="J245" s="97"/>
      <c r="K245" s="97"/>
      <c r="L245" s="97"/>
      <c r="M245" s="18"/>
      <c r="N245" s="18"/>
      <c r="O245" s="18"/>
    </row>
    <row r="246" spans="2:15">
      <c r="B246" s="96"/>
      <c r="C246" s="97"/>
      <c r="D246" s="97"/>
      <c r="E246" s="97"/>
      <c r="F246" s="97"/>
      <c r="H246" s="97"/>
      <c r="I246" s="97"/>
      <c r="J246" s="97"/>
      <c r="K246" s="97"/>
      <c r="L246" s="97"/>
      <c r="M246" s="18"/>
      <c r="N246" s="18"/>
      <c r="O246" s="18"/>
    </row>
    <row r="247" spans="2:15">
      <c r="B247" s="96"/>
      <c r="C247" s="97"/>
      <c r="D247" s="97"/>
      <c r="E247" s="97"/>
      <c r="F247" s="97"/>
      <c r="H247" s="97"/>
      <c r="I247" s="97"/>
      <c r="J247" s="97"/>
      <c r="K247" s="97"/>
      <c r="L247" s="97"/>
      <c r="M247" s="18"/>
      <c r="N247" s="18"/>
      <c r="O247" s="18"/>
    </row>
    <row r="248" spans="2:15">
      <c r="B248" s="96"/>
      <c r="C248" s="97"/>
      <c r="D248" s="97"/>
      <c r="E248" s="97"/>
      <c r="F248" s="97"/>
      <c r="H248" s="97"/>
      <c r="I248" s="97"/>
      <c r="J248" s="97"/>
      <c r="K248" s="97"/>
      <c r="L248" s="97"/>
      <c r="M248" s="18"/>
      <c r="N248" s="18"/>
      <c r="O248" s="18"/>
    </row>
    <row r="249" spans="2:15">
      <c r="B249" s="96"/>
      <c r="C249" s="97"/>
      <c r="D249" s="97"/>
      <c r="E249" s="97"/>
      <c r="F249" s="97"/>
      <c r="H249" s="97"/>
      <c r="I249" s="97"/>
      <c r="J249" s="97"/>
      <c r="K249" s="97"/>
      <c r="L249" s="97"/>
      <c r="M249" s="18"/>
      <c r="N249" s="18"/>
      <c r="O249" s="18"/>
    </row>
    <row r="250" spans="2:15">
      <c r="B250" s="96"/>
      <c r="C250" s="97"/>
      <c r="D250" s="97"/>
      <c r="E250" s="97"/>
      <c r="F250" s="97"/>
      <c r="H250" s="97"/>
      <c r="I250" s="97"/>
      <c r="J250" s="97"/>
      <c r="K250" s="97"/>
      <c r="L250" s="97"/>
      <c r="M250" s="18"/>
      <c r="N250" s="18"/>
      <c r="O250" s="18"/>
    </row>
    <row r="251" spans="2:15">
      <c r="B251" s="96"/>
      <c r="C251" s="97"/>
      <c r="D251" s="97"/>
      <c r="E251" s="97"/>
      <c r="F251" s="97"/>
      <c r="H251" s="97"/>
      <c r="I251" s="97"/>
      <c r="J251" s="97"/>
      <c r="K251" s="97"/>
      <c r="L251" s="97"/>
      <c r="M251" s="18"/>
      <c r="N251" s="18"/>
      <c r="O251" s="18"/>
    </row>
    <row r="252" spans="2:15">
      <c r="B252" s="96"/>
      <c r="C252" s="97"/>
      <c r="D252" s="97"/>
      <c r="E252" s="97"/>
      <c r="F252" s="97"/>
      <c r="H252" s="97"/>
      <c r="I252" s="97"/>
      <c r="J252" s="97"/>
      <c r="K252" s="97"/>
      <c r="L252" s="97"/>
      <c r="M252" s="18"/>
      <c r="N252" s="18"/>
      <c r="O252" s="18"/>
    </row>
    <row r="253" spans="2:15">
      <c r="B253" s="96"/>
      <c r="C253" s="97"/>
      <c r="D253" s="97"/>
      <c r="E253" s="97"/>
      <c r="F253" s="97"/>
      <c r="H253" s="97"/>
      <c r="I253" s="97"/>
      <c r="J253" s="97"/>
      <c r="K253" s="97"/>
      <c r="L253" s="97"/>
      <c r="M253" s="18"/>
      <c r="N253" s="18"/>
      <c r="O253" s="18"/>
    </row>
    <row r="254" spans="2:15">
      <c r="B254" s="96"/>
      <c r="C254" s="97"/>
      <c r="D254" s="97"/>
      <c r="E254" s="97"/>
      <c r="F254" s="97"/>
      <c r="H254" s="97"/>
      <c r="I254" s="97"/>
      <c r="J254" s="97"/>
      <c r="K254" s="97"/>
      <c r="L254" s="97"/>
      <c r="M254" s="18"/>
      <c r="N254" s="18"/>
      <c r="O254" s="18"/>
    </row>
    <row r="255" spans="2:15">
      <c r="B255" s="96"/>
      <c r="C255" s="97"/>
      <c r="D255" s="97"/>
      <c r="E255" s="97"/>
      <c r="F255" s="97"/>
      <c r="H255" s="97"/>
      <c r="I255" s="97"/>
      <c r="J255" s="97"/>
      <c r="K255" s="97"/>
      <c r="L255" s="97"/>
      <c r="M255" s="18"/>
      <c r="N255" s="18"/>
      <c r="O255" s="18"/>
    </row>
  </sheetData>
  <phoneticPr fontId="8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Cover</vt:lpstr>
      <vt:lpstr>DreamtowerCasino</vt:lpstr>
      <vt:lpstr>커버리지 타임라인</vt:lpstr>
      <vt:lpstr>DreamtowerCasino!Print_Area</vt:lpstr>
    </vt:vector>
  </TitlesOfParts>
  <Company>JEJUDREAMTOWER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사용자</cp:lastModifiedBy>
  <cp:lastPrinted>2023-05-17T06:54:08Z</cp:lastPrinted>
  <dcterms:created xsi:type="dcterms:W3CDTF">2023-05-17T06:06:47Z</dcterms:created>
  <dcterms:modified xsi:type="dcterms:W3CDTF">2026-03-19T23:02:15Z</dcterms:modified>
</cp:coreProperties>
</file>